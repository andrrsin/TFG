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Staff" sheetId="1" state="visible" r:id="rId3"/>
    <sheet name="Staff Productivity" sheetId="2" state="visible" r:id="rId4"/>
    <sheet name="Indirect Costs" sheetId="3" state="visible" r:id="rId5"/>
    <sheet name="Production Costs" sheetId="4" state="visible" r:id="rId6"/>
    <sheet name="Billing Needs" sheetId="5" state="visible" r:id="rId7"/>
    <sheet name="Schedule" sheetId="6" state="visible" r:id="rId8"/>
    <sheet name="Price per Hour" sheetId="7" state="visible" r:id="rId9"/>
    <sheet name="Summary" sheetId="8" state="visible" r:id="rId10"/>
    <sheet name="Budget" sheetId="9" state="visible" r:id="rId11"/>
    <sheet name="Client" sheetId="10" state="visible" r:id="rId12"/>
    <sheet name="Part 1" sheetId="11" state="visible" r:id="rId13"/>
    <sheet name="Part 2" sheetId="12" state="visible" r:id="rId14"/>
    <sheet name="Part 3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<sst xmlns="http://schemas.openxmlformats.org/spreadsheetml/2006/main" count="350" uniqueCount="133">
  <si>
    <t xml:space="preserve">Staff</t>
  </si>
  <si>
    <t xml:space="preserve">Amount</t>
  </si>
  <si>
    <t xml:space="preserve">Gross Annual Salary</t>
  </si>
  <si>
    <t xml:space="preserve">Annual Salary Cost</t>
  </si>
  <si>
    <t xml:space="preserve">TOTAL</t>
  </si>
  <si>
    <t xml:space="preserve">Project Manager</t>
  </si>
  <si>
    <t xml:space="preserve">Lead Researcher</t>
  </si>
  <si>
    <t xml:space="preserve">Software Engineer</t>
  </si>
  <si>
    <t xml:space="preserve">Junior Researcher</t>
  </si>
  <si>
    <t xml:space="preserve">Junior Researcher II</t>
  </si>
  <si>
    <t xml:space="preserve">Prod (%)</t>
  </si>
  <si>
    <t xml:space="preserve">Direct Cost</t>
  </si>
  <si>
    <t xml:space="preserve">IC(%)</t>
  </si>
  <si>
    <t xml:space="preserve">Indirect Cost</t>
  </si>
  <si>
    <t xml:space="preserve">Service</t>
  </si>
  <si>
    <t xml:space="preserve">Monthly Cost</t>
  </si>
  <si>
    <t xml:space="preserve">Yearly Cost</t>
  </si>
  <si>
    <t xml:space="preserve">Cleaning</t>
  </si>
  <si>
    <t xml:space="preserve">Light Consumption</t>
  </si>
  <si>
    <t xml:space="preserve">Water Consumption</t>
  </si>
  <si>
    <t xml:space="preserve">Heating</t>
  </si>
  <si>
    <t xml:space="preserve">Internet provider</t>
  </si>
  <si>
    <t xml:space="preserve">Movility Costs</t>
  </si>
  <si>
    <t xml:space="preserve">Total</t>
  </si>
  <si>
    <t xml:space="preserve">License/Team</t>
  </si>
  <si>
    <t xml:space="preserve">Units</t>
  </si>
  <si>
    <t xml:space="preserve">Price</t>
  </si>
  <si>
    <t xml:space="preserve">Total Price</t>
  </si>
  <si>
    <t xml:space="preserve">Annual Cost</t>
  </si>
  <si>
    <t xml:space="preserve">Type</t>
  </si>
  <si>
    <t xml:space="preserve">Term</t>
  </si>
  <si>
    <t xml:space="preserve">Tobii pro nano</t>
  </si>
  <si>
    <t xml:space="preserve">Amortization</t>
  </si>
  <si>
    <t xml:space="preserve">-</t>
  </si>
  <si>
    <t xml:space="preserve">Tobii pro lab license</t>
  </si>
  <si>
    <t xml:space="preserve">Indirect plus direct costs</t>
  </si>
  <si>
    <t xml:space="preserve">Desired Benefit</t>
  </si>
  <si>
    <t xml:space="preserve">Billing Needs</t>
  </si>
  <si>
    <t xml:space="preserve">Prod(%)</t>
  </si>
  <si>
    <t xml:space="preserve">Hours / year</t>
  </si>
  <si>
    <t xml:space="preserve">Productive hours / year (per person)</t>
  </si>
  <si>
    <t xml:space="preserve">Productive Hours (Total)</t>
  </si>
  <si>
    <t xml:space="preserve">Price / hour</t>
  </si>
  <si>
    <t xml:space="preserve">Price /hour with no benefit</t>
  </si>
  <si>
    <t xml:space="preserve">Productive Hours</t>
  </si>
  <si>
    <t xml:space="preserve">Billing</t>
  </si>
  <si>
    <t xml:space="preserve">Indirect</t>
  </si>
  <si>
    <t xml:space="preserve">Means</t>
  </si>
  <si>
    <t xml:space="preserve">Non productive</t>
  </si>
  <si>
    <t xml:space="preserve">Notes to calc</t>
  </si>
  <si>
    <t xml:space="preserve">Concept</t>
  </si>
  <si>
    <t xml:space="preserve">Total direct costs</t>
  </si>
  <si>
    <t xml:space="preserve">Total Indirect Costs</t>
  </si>
  <si>
    <t xml:space="preserve">Sum of both direct and indirect costs</t>
  </si>
  <si>
    <t xml:space="preserve">Total Cost (Sum of costs + benefit)</t>
  </si>
  <si>
    <t xml:space="preserve">Possible billing by productivity hours and price per hour</t>
  </si>
  <si>
    <t xml:space="preserve">Total cost and billing costs margin</t>
  </si>
  <si>
    <t xml:space="preserve">Code</t>
  </si>
  <si>
    <t xml:space="preserve">Number</t>
  </si>
  <si>
    <t xml:space="preserve">Part</t>
  </si>
  <si>
    <t xml:space="preserve">Previous Planning and State of the art</t>
  </si>
  <si>
    <t xml:space="preserve">Previous Planning</t>
  </si>
  <si>
    <t xml:space="preserve">State of the Art</t>
  </si>
  <si>
    <t xml:space="preserve">Experiment</t>
  </si>
  <si>
    <t xml:space="preserve">Experiment Proposal</t>
  </si>
  <si>
    <t xml:space="preserve">Experiment Development</t>
  </si>
  <si>
    <t xml:space="preserve">Data analysis</t>
  </si>
  <si>
    <t xml:space="preserve">Documentation for the paper</t>
  </si>
  <si>
    <t xml:space="preserve">Total con beneficios</t>
  </si>
  <si>
    <t xml:space="preserve">Contingencia</t>
  </si>
  <si>
    <t xml:space="preserve">Beneficio total</t>
  </si>
  <si>
    <t xml:space="preserve">Porcentaje de Reparticion al Cliente</t>
  </si>
  <si>
    <t xml:space="preserve">Index 1</t>
  </si>
  <si>
    <t xml:space="preserve">Index 2</t>
  </si>
  <si>
    <t xml:space="preserve">Index 3</t>
  </si>
  <si>
    <t xml:space="preserve">Index 4</t>
  </si>
  <si>
    <t xml:space="preserve">Task Name</t>
  </si>
  <si>
    <t xml:space="preserve">Quantity</t>
  </si>
  <si>
    <t xml:space="preserve">Subtotal(3)</t>
  </si>
  <si>
    <t xml:space="preserve">Subtotal (2)</t>
  </si>
  <si>
    <t xml:space="preserve">Subtotal(1)</t>
  </si>
  <si>
    <t xml:space="preserve">001</t>
  </si>
  <si>
    <t xml:space="preserve">Research Process Planning</t>
  </si>
  <si>
    <t xml:space="preserve">Needs Analysis</t>
  </si>
  <si>
    <t xml:space="preserve">Hours</t>
  </si>
  <si>
    <t xml:space="preserve">002</t>
  </si>
  <si>
    <t xml:space="preserve">Organization and definition of roles</t>
  </si>
  <si>
    <t xml:space="preserve">Definition of technology needs</t>
  </si>
  <si>
    <t xml:space="preserve">Identification of technology needs</t>
  </si>
  <si>
    <t xml:space="preserve">Selection of tools and technologies</t>
  </si>
  <si>
    <t xml:space="preserve">003</t>
  </si>
  <si>
    <t xml:space="preserve">Acquisition of chosen technologies</t>
  </si>
  <si>
    <t xml:space="preserve">Project Planning</t>
  </si>
  <si>
    <t xml:space="preserve">OBS</t>
  </si>
  <si>
    <t xml:space="preserve">WBS</t>
  </si>
  <si>
    <t xml:space="preserve">Risk Management</t>
  </si>
  <si>
    <t xml:space="preserve">004</t>
  </si>
  <si>
    <t xml:space="preserve">Budget Creation</t>
  </si>
  <si>
    <t xml:space="preserve">State of the art</t>
  </si>
  <si>
    <t xml:space="preserve">Search and analysis</t>
  </si>
  <si>
    <t xml:space="preserve">Junior Researcher 1</t>
  </si>
  <si>
    <t xml:space="preserve">Junior Researcher 2</t>
  </si>
  <si>
    <t xml:space="preserve">First Bake</t>
  </si>
  <si>
    <t xml:space="preserve">Second and final bake</t>
  </si>
  <si>
    <t xml:space="preserve">Final Presentation</t>
  </si>
  <si>
    <t xml:space="preserve">In depth experiment creation</t>
  </si>
  <si>
    <t xml:space="preserve">Webpage selection</t>
  </si>
  <si>
    <t xml:space="preserve">Creation of the form</t>
  </si>
  <si>
    <t xml:space="preserve">Tobii pro lab configuration</t>
  </si>
  <si>
    <t xml:space="preserve">Book the desired place</t>
  </si>
  <si>
    <t xml:space="preserve">Preparation of material</t>
  </si>
  <si>
    <t xml:space="preserve">Data Retrieval</t>
  </si>
  <si>
    <t xml:space="preserve">Data preprocessing</t>
  </si>
  <si>
    <t xml:space="preserve">Tobii pro lab AOI creation</t>
  </si>
  <si>
    <t xml:space="preserve">Data Download</t>
  </si>
  <si>
    <t xml:space="preserve">Preprocessing implementation</t>
  </si>
  <si>
    <t xml:space="preserve">Data processing</t>
  </si>
  <si>
    <t xml:space="preserve">Statistical Study</t>
  </si>
  <si>
    <t xml:space="preserve">Collect conclussions and results</t>
  </si>
  <si>
    <t xml:space="preserve">005</t>
  </si>
  <si>
    <t xml:space="preserve">Final meeting</t>
  </si>
  <si>
    <t xml:space="preserve">Documentation</t>
  </si>
  <si>
    <t xml:space="preserve">Abstract Writing</t>
  </si>
  <si>
    <t xml:space="preserve">Introduction Writing</t>
  </si>
  <si>
    <t xml:space="preserve">Literature Writing</t>
  </si>
  <si>
    <t xml:space="preserve">Method Writing</t>
  </si>
  <si>
    <t xml:space="preserve">Results and discussion writing</t>
  </si>
  <si>
    <t xml:space="preserve">006</t>
  </si>
  <si>
    <t xml:space="preserve">Conclusion Writing</t>
  </si>
  <si>
    <t xml:space="preserve">007</t>
  </si>
  <si>
    <t xml:space="preserve">Reference review</t>
  </si>
  <si>
    <t xml:space="preserve">008</t>
  </si>
  <si>
    <t xml:space="preserve">Final documentation review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</si>
</sst>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€&quot;"/>
    <numFmt numFmtId="166" formatCode="_-* #,##0.00\ [$€-C0A]_-;\-* #,##0.00\ [$€-C0A]_-;_-* \-??\ [$€-C0A]_-;_-@_-"/>
    <numFmt numFmtId="167" formatCode="0%"/>
    <numFmt numFmtId="168" formatCode="_-* #,##0.00&quot; €&quot;_-;\-* #,##0.00&quot; €&quot;_-;_-* \-??&quot; €&quot;_-;_-@_-"/>
    <numFmt numFmtId="169" formatCode="0.00%"/>
    <numFmt numFmtId="170" formatCode="0"/>
    <numFmt numFmtId="171" formatCode="#,##0.00&quot; €&quot;;[RED]\-#,##0.00&quot; €&quot;"/>
    <numFmt numFmtId="172" formatCode="@"/>
    <numFmt numFmtId="173" formatCode="_-* #,##0.00_-;\-* #,##0.00_-;_-* \-??_-;_-@_-"/>
    <numFmt numFmtId="174" formatCode="0.0"/>
  </numFmts>
  <fonts count="10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2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3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72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2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86ECC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4F1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Arial" pitchFamily="0" charset="1"/>
        <a:cs typeface="Arial" pitchFamily="0" charset="1"/>
      </a:majorFont>
      <a:minorFont>
        <a:latin typeface="Aptos Narrow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7.43"/>
    <col collapsed="false" customWidth="true" hidden="false" outlineLevel="0" max="2" min="2" style="1" width="8"/>
    <col collapsed="false" customWidth="true" hidden="false" outlineLevel="0" max="3" min="3" style="1" width="19"/>
    <col collapsed="false" customWidth="true" hidden="false" outlineLevel="0" max="4" min="4" style="1" width="18"/>
    <col collapsed="false" customWidth="true" hidden="false" outlineLevel="0" max="5" min="5" style="1" width="11.57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4" t="s">
        <v>5</v>
      </c>
      <c r="B2" s="5" t="n">
        <v>1</v>
      </c>
      <c r="C2" s="6" t="n">
        <v>42000</v>
      </c>
      <c r="D2" s="6" t="n">
        <f aca="false">C2*1.3</f>
        <v>54600</v>
      </c>
      <c r="E2" s="6" t="n">
        <f aca="false">D2*B2</f>
        <v>54600</v>
      </c>
    </row>
    <row r="3" customFormat="false" ht="15" hidden="false" customHeight="false" outlineLevel="0" collapsed="false">
      <c r="A3" s="4" t="s">
        <v>6</v>
      </c>
      <c r="B3" s="5" t="n">
        <v>1</v>
      </c>
      <c r="C3" s="6" t="n">
        <v>42000</v>
      </c>
      <c r="D3" s="6" t="n">
        <f aca="false">C3*1.3</f>
        <v>54600</v>
      </c>
      <c r="E3" s="6" t="n">
        <f aca="false">D3*B3</f>
        <v>54600</v>
      </c>
    </row>
    <row r="4" customFormat="false" ht="15" hidden="false" customHeight="false" outlineLevel="0" collapsed="false">
      <c r="A4" s="4" t="s">
        <v>7</v>
      </c>
      <c r="B4" s="5" t="n">
        <v>1</v>
      </c>
      <c r="C4" s="6" t="n">
        <v>32000</v>
      </c>
      <c r="D4" s="6" t="n">
        <f aca="false">C4*1.3</f>
        <v>41600</v>
      </c>
      <c r="E4" s="6" t="n">
        <f aca="false">D4*B4</f>
        <v>41600</v>
      </c>
    </row>
    <row r="5" customFormat="false" ht="15" hidden="false" customHeight="false" outlineLevel="0" collapsed="false">
      <c r="A5" s="4" t="s">
        <v>8</v>
      </c>
      <c r="B5" s="5" t="n">
        <v>1</v>
      </c>
      <c r="C5" s="6" t="n">
        <v>25000</v>
      </c>
      <c r="D5" s="6" t="n">
        <f aca="false">C5*1.3</f>
        <v>32500</v>
      </c>
      <c r="E5" s="6" t="n">
        <f aca="false">D5*B5</f>
        <v>32500</v>
      </c>
    </row>
    <row r="6" customFormat="false" ht="15" hidden="false" customHeight="false" outlineLevel="0" collapsed="false">
      <c r="A6" s="4" t="s">
        <v>9</v>
      </c>
      <c r="B6" s="5" t="n">
        <v>1</v>
      </c>
      <c r="C6" s="6" t="n">
        <v>25000</v>
      </c>
      <c r="D6" s="6" t="n">
        <f aca="false">C6*1.3</f>
        <v>32500</v>
      </c>
      <c r="E6" s="6" t="n">
        <f aca="false">D6*B6</f>
        <v>32500</v>
      </c>
    </row>
    <row r="7" customFormat="false" ht="15" hidden="false" customHeight="false" outlineLevel="0" collapsed="false">
      <c r="A7" s="7" t="s">
        <v>4</v>
      </c>
      <c r="B7" s="5" t="n">
        <f aca="false">SUM(B2:B6)</f>
        <v>5</v>
      </c>
      <c r="C7" s="6"/>
      <c r="D7" s="6"/>
      <c r="E7" s="6" t="n">
        <f aca="false">SUM(E2:E6)</f>
        <v>215800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24.57"/>
    <col collapsed="false" customWidth="true" hidden="false" outlineLevel="0" max="3" min="3" style="1" width="13.14"/>
    <col collapsed="false" customWidth="true" hidden="false" outlineLevel="0" max="5" min="5" style="1" width="13.71"/>
    <col collapsed="false" customWidth="true" hidden="false" outlineLevel="0" max="6" min="6" style="1" width="6"/>
    <col collapsed="false" customWidth="true" hidden="false" outlineLevel="0" max="7" min="7" style="1" width="15.15"/>
  </cols>
  <sheetData>
    <row r="2" customFormat="false" ht="15" hidden="false" customHeight="false" outlineLevel="0" collapsed="false">
      <c r="B2" s="2" t="s">
        <v>0</v>
      </c>
      <c r="C2" s="3" t="s">
        <v>4</v>
      </c>
      <c r="D2" s="3" t="s">
        <v>10</v>
      </c>
      <c r="E2" s="3" t="s">
        <v>11</v>
      </c>
      <c r="F2" s="3" t="s">
        <v>12</v>
      </c>
      <c r="G2" s="3" t="s">
        <v>13</v>
      </c>
    </row>
    <row r="3" customFormat="false" ht="15" hidden="false" customHeight="false" outlineLevel="0" collapsed="false">
      <c r="B3" s="8" t="str">
        <f aca="false">Staff!A2</f>
        <v>Project Manager</v>
      </c>
      <c r="C3" s="9" t="n">
        <f aca="false">Staff!E2</f>
        <v>54600</v>
      </c>
      <c r="D3" s="10" t="n">
        <v>0</v>
      </c>
      <c r="E3" s="9" t="n">
        <v>0</v>
      </c>
      <c r="F3" s="10" t="n">
        <f aca="false">1-D3</f>
        <v>1</v>
      </c>
      <c r="G3" s="9" t="n">
        <f aca="false">C3*F3</f>
        <v>54600</v>
      </c>
    </row>
    <row r="4" customFormat="false" ht="15" hidden="false" customHeight="false" outlineLevel="0" collapsed="false">
      <c r="B4" s="8" t="str">
        <f aca="false">Staff!A3</f>
        <v>Lead Researcher</v>
      </c>
      <c r="C4" s="9" t="n">
        <f aca="false">Staff!E3</f>
        <v>54600</v>
      </c>
      <c r="D4" s="10" t="n">
        <v>0.7</v>
      </c>
      <c r="E4" s="9" t="n">
        <f aca="false">C4*D4</f>
        <v>38220</v>
      </c>
      <c r="F4" s="10" t="n">
        <f aca="false">1-D4</f>
        <v>0.3</v>
      </c>
      <c r="G4" s="9" t="n">
        <f aca="false">C4*F4</f>
        <v>16380</v>
      </c>
    </row>
    <row r="5" customFormat="false" ht="15" hidden="false" customHeight="false" outlineLevel="0" collapsed="false">
      <c r="B5" s="8" t="str">
        <f aca="false">Staff!A4</f>
        <v>Software Engineer</v>
      </c>
      <c r="C5" s="9" t="n">
        <f aca="false">Staff!E4</f>
        <v>41600</v>
      </c>
      <c r="D5" s="10" t="n">
        <v>0.8</v>
      </c>
      <c r="E5" s="9" t="n">
        <f aca="false">C5*D5</f>
        <v>33280</v>
      </c>
      <c r="F5" s="10" t="n">
        <f aca="false">1-D5</f>
        <v>0.2</v>
      </c>
      <c r="G5" s="9" t="n">
        <f aca="false">C5*F5</f>
        <v>8320</v>
      </c>
    </row>
    <row r="6" customFormat="false" ht="15" hidden="false" customHeight="false" outlineLevel="0" collapsed="false">
      <c r="B6" s="8" t="str">
        <f aca="false">Staff!A5</f>
        <v>Junior Researcher</v>
      </c>
      <c r="C6" s="9" t="n">
        <f aca="false">Staff!E5</f>
        <v>32500</v>
      </c>
      <c r="D6" s="10" t="n">
        <v>0.8</v>
      </c>
      <c r="E6" s="9" t="n">
        <f aca="false">C6*D6</f>
        <v>26000</v>
      </c>
      <c r="F6" s="10" t="n">
        <f aca="false">1-D6</f>
        <v>0.2</v>
      </c>
      <c r="G6" s="9" t="n">
        <f aca="false">C6*F6</f>
        <v>6500</v>
      </c>
    </row>
    <row r="7" customFormat="false" ht="15" hidden="false" customHeight="false" outlineLevel="0" collapsed="false">
      <c r="B7" s="8" t="str">
        <f aca="false">Staff!A6</f>
        <v>Junior Researcher II</v>
      </c>
      <c r="C7" s="9" t="n">
        <f aca="false">Staff!E6</f>
        <v>32500</v>
      </c>
      <c r="D7" s="10" t="n">
        <v>0.8</v>
      </c>
      <c r="E7" s="9" t="n">
        <f aca="false">C7*D7</f>
        <v>26000</v>
      </c>
      <c r="F7" s="10" t="n">
        <f aca="false">1-D7</f>
        <v>0.2</v>
      </c>
      <c r="G7" s="9" t="n">
        <f aca="false">C7*F7</f>
        <v>6500</v>
      </c>
    </row>
    <row r="8" customFormat="false" ht="15" hidden="false" customHeight="false" outlineLevel="0" collapsed="false">
      <c r="B8" s="8" t="s">
        <v>4</v>
      </c>
      <c r="C8" s="9" t="n">
        <f aca="false">Staff!E7</f>
        <v>215800</v>
      </c>
      <c r="D8" s="9"/>
      <c r="E8" s="9" t="n">
        <f aca="false">SUM(E3:E7)</f>
        <v>123500</v>
      </c>
      <c r="F8" s="9"/>
      <c r="G8" s="9" t="n">
        <f aca="false">SUM(G3:G7)</f>
        <v>92300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1" width="21.43"/>
    <col collapsed="false" customWidth="true" hidden="false" outlineLevel="0" max="3" min="3" style="1" width="13.76"/>
    <col collapsed="false" customWidth="true" hidden="false" outlineLevel="0" max="4" min="4" style="1" width="11.8"/>
  </cols>
  <sheetData>
    <row r="2" customFormat="false" ht="14.25" hidden="false" customHeight="false" outlineLevel="0" collapsed="false">
      <c r="B2" s="3" t="s">
        <v>14</v>
      </c>
      <c r="C2" s="3" t="s">
        <v>15</v>
      </c>
      <c r="D2" s="3" t="s">
        <v>16</v>
      </c>
    </row>
    <row r="3" customFormat="false" ht="14.25" hidden="false" customHeight="false" outlineLevel="0" collapsed="false">
      <c r="B3" s="11" t="s">
        <v>17</v>
      </c>
      <c r="C3" s="11" t="n">
        <v>20</v>
      </c>
      <c r="D3" s="11" t="n">
        <f aca="false">C3*12</f>
        <v>240</v>
      </c>
    </row>
    <row r="4" customFormat="false" ht="14.25" hidden="false" customHeight="false" outlineLevel="0" collapsed="false">
      <c r="B4" s="11" t="s">
        <v>18</v>
      </c>
      <c r="C4" s="11" t="n">
        <v>70</v>
      </c>
      <c r="D4" s="11" t="n">
        <f aca="false">C4*12</f>
        <v>840</v>
      </c>
    </row>
    <row r="5" customFormat="false" ht="14.25" hidden="false" customHeight="false" outlineLevel="0" collapsed="false">
      <c r="B5" s="11" t="s">
        <v>19</v>
      </c>
      <c r="C5" s="11" t="n">
        <v>20</v>
      </c>
      <c r="D5" s="11" t="n">
        <f aca="false">C5*12</f>
        <v>240</v>
      </c>
    </row>
    <row r="6" customFormat="false" ht="14.25" hidden="false" customHeight="false" outlineLevel="0" collapsed="false">
      <c r="B6" s="11" t="s">
        <v>20</v>
      </c>
      <c r="C6" s="11" t="n">
        <v>20</v>
      </c>
      <c r="D6" s="11" t="n">
        <f aca="false">C6*12</f>
        <v>240</v>
      </c>
    </row>
    <row r="7" customFormat="false" ht="14.25" hidden="false" customHeight="false" outlineLevel="0" collapsed="false">
      <c r="B7" s="11" t="s">
        <v>21</v>
      </c>
      <c r="C7" s="11" t="n">
        <v>65.99</v>
      </c>
      <c r="D7" s="11" t="n">
        <f aca="false">C7*12</f>
        <v>791.88</v>
      </c>
    </row>
    <row r="8" customFormat="false" ht="14.25" hidden="false" customHeight="false" outlineLevel="0" collapsed="false">
      <c r="B8" s="11" t="s">
        <v>22</v>
      </c>
      <c r="C8" s="11" t="n">
        <v>40</v>
      </c>
      <c r="D8" s="11" t="n">
        <f aca="false">C8*12</f>
        <v>480</v>
      </c>
    </row>
    <row r="9" customFormat="false" ht="14.25" hidden="false" customHeight="false" outlineLevel="0" collapsed="false">
      <c r="B9" s="12" t="s">
        <v>23</v>
      </c>
      <c r="C9" s="11"/>
      <c r="D9" s="11" t="n">
        <f aca="false">SUM(D3:D8)</f>
        <v>2831.88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21.86"/>
    <col collapsed="false" customWidth="true" hidden="false" outlineLevel="0" max="4" min="4" style="1" width="11"/>
    <col collapsed="false" customWidth="true" hidden="false" outlineLevel="0" max="5" min="5" style="1" width="11.28"/>
    <col collapsed="false" customWidth="true" hidden="false" outlineLevel="0" max="6" min="6" style="1" width="11.86"/>
    <col collapsed="false" customWidth="true" hidden="false" outlineLevel="0" max="7" min="7" style="1" width="12.29"/>
  </cols>
  <sheetData>
    <row r="2" customFormat="false" ht="15" hidden="false" customHeight="false" outlineLevel="0" collapsed="false">
      <c r="B2" s="2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</row>
    <row r="3" customFormat="false" ht="15" hidden="false" customHeight="false" outlineLevel="0" collapsed="false">
      <c r="B3" s="8" t="s">
        <v>31</v>
      </c>
      <c r="C3" s="8" t="n">
        <v>1</v>
      </c>
      <c r="D3" s="11" t="n">
        <v>2500</v>
      </c>
      <c r="E3" s="11" t="n">
        <f aca="false">C3*D3</f>
        <v>2500</v>
      </c>
      <c r="F3" s="11" t="n">
        <f aca="false">E3/12</f>
        <v>208.333333333333</v>
      </c>
      <c r="G3" s="8" t="s">
        <v>32</v>
      </c>
      <c r="H3" s="13" t="s">
        <v>33</v>
      </c>
    </row>
    <row r="4" customFormat="false" ht="15" hidden="false" customHeight="false" outlineLevel="0" collapsed="false">
      <c r="B4" s="8" t="s">
        <v>34</v>
      </c>
      <c r="C4" s="8" t="n">
        <v>1</v>
      </c>
      <c r="D4" s="11" t="n">
        <v>1800</v>
      </c>
      <c r="E4" s="11" t="n">
        <f aca="false">C4*D4</f>
        <v>1800</v>
      </c>
      <c r="F4" s="11" t="n">
        <f aca="false">E4/12</f>
        <v>150</v>
      </c>
      <c r="G4" s="8" t="s">
        <v>32</v>
      </c>
      <c r="H4" s="13" t="s">
        <v>33</v>
      </c>
    </row>
    <row r="5" customFormat="false" ht="15" hidden="false" customHeight="false" outlineLevel="0" collapsed="false">
      <c r="B5" s="2" t="s">
        <v>23</v>
      </c>
      <c r="C5" s="8"/>
      <c r="D5" s="11"/>
      <c r="E5" s="11"/>
      <c r="F5" s="11" t="n">
        <f aca="false">SUM(F3:F4)</f>
        <v>358.333333333333</v>
      </c>
      <c r="G5" s="8"/>
      <c r="H5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5:F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5" activeCellId="0" sqref="C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28.57"/>
    <col collapsed="false" customWidth="true" hidden="false" outlineLevel="0" max="3" min="3" style="1" width="11.57"/>
    <col collapsed="false" customWidth="true" hidden="false" outlineLevel="0" max="5" min="5" style="1" width="14.29"/>
  </cols>
  <sheetData>
    <row r="5" customFormat="false" ht="15" hidden="false" customHeight="false" outlineLevel="0" collapsed="false">
      <c r="B5" s="8" t="s">
        <v>35</v>
      </c>
      <c r="C5" s="14" t="n">
        <f aca="false">'Production Costs'!F5+'Indirect Costs'!D9+'Staff Productivity'!C8</f>
        <v>218990.213333333</v>
      </c>
    </row>
    <row r="6" customFormat="false" ht="15" hidden="false" customHeight="false" outlineLevel="0" collapsed="false">
      <c r="B6" s="8" t="s">
        <v>36</v>
      </c>
      <c r="C6" s="14" t="n">
        <f aca="false">C5*F6</f>
        <v>54747.5533333333</v>
      </c>
      <c r="E6" s="8" t="s">
        <v>36</v>
      </c>
      <c r="F6" s="15" t="n">
        <v>0.25</v>
      </c>
    </row>
    <row r="7" customFormat="false" ht="15" hidden="false" customHeight="false" outlineLevel="0" collapsed="false">
      <c r="B7" s="8" t="s">
        <v>37</v>
      </c>
      <c r="C7" s="14" t="n">
        <f aca="false">C5+C6</f>
        <v>273737.766666667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F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23" activeCellId="0" sqref="F2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24.57"/>
    <col collapsed="false" customWidth="true" hidden="false" outlineLevel="0" max="3" min="3" style="1" width="8.14"/>
    <col collapsed="false" customWidth="true" hidden="false" outlineLevel="0" max="4" min="4" style="1" width="11.28"/>
    <col collapsed="false" customWidth="true" hidden="false" outlineLevel="0" max="5" min="5" style="1" width="35.57"/>
    <col collapsed="false" customWidth="true" hidden="false" outlineLevel="0" max="6" min="6" style="1" width="32.29"/>
  </cols>
  <sheetData>
    <row r="2" customFormat="false" ht="15" hidden="false" customHeight="false" outlineLevel="0" collapsed="false">
      <c r="B2" s="8" t="s">
        <v>0</v>
      </c>
      <c r="C2" s="5" t="s">
        <v>38</v>
      </c>
      <c r="D2" s="5" t="s">
        <v>39</v>
      </c>
      <c r="E2" s="5" t="s">
        <v>40</v>
      </c>
      <c r="F2" s="5" t="s">
        <v>41</v>
      </c>
    </row>
    <row r="3" customFormat="false" ht="15" hidden="false" customHeight="false" outlineLevel="0" collapsed="false">
      <c r="B3" s="8" t="str">
        <f aca="false">Staff!A2</f>
        <v>Project Manager</v>
      </c>
      <c r="C3" s="16" t="n">
        <f aca="false">'Staff Productivity'!D3</f>
        <v>0</v>
      </c>
      <c r="D3" s="8" t="n">
        <v>1784</v>
      </c>
      <c r="E3" s="8" t="n">
        <f aca="false">D3*C3</f>
        <v>0</v>
      </c>
      <c r="F3" s="8" t="n">
        <f aca="false">E3</f>
        <v>0</v>
      </c>
    </row>
    <row r="4" customFormat="false" ht="15" hidden="false" customHeight="false" outlineLevel="0" collapsed="false">
      <c r="B4" s="8" t="str">
        <f aca="false">Staff!A3</f>
        <v>Lead Researcher</v>
      </c>
      <c r="C4" s="16" t="n">
        <f aca="false">'Staff Productivity'!D4</f>
        <v>0.7</v>
      </c>
      <c r="D4" s="8" t="n">
        <v>1784</v>
      </c>
      <c r="E4" s="17" t="n">
        <f aca="false">D4*C4</f>
        <v>1248.8</v>
      </c>
      <c r="F4" s="17" t="n">
        <f aca="false">E4</f>
        <v>1248.8</v>
      </c>
    </row>
    <row r="5" customFormat="false" ht="15" hidden="false" customHeight="false" outlineLevel="0" collapsed="false">
      <c r="B5" s="8" t="str">
        <f aca="false">Staff!A4</f>
        <v>Software Engineer</v>
      </c>
      <c r="C5" s="16" t="n">
        <f aca="false">'Staff Productivity'!D5</f>
        <v>0.8</v>
      </c>
      <c r="D5" s="8" t="n">
        <v>1784</v>
      </c>
      <c r="E5" s="8" t="n">
        <f aca="false">D5*C5</f>
        <v>1427.2</v>
      </c>
      <c r="F5" s="8" t="n">
        <f aca="false">E5</f>
        <v>1427.2</v>
      </c>
    </row>
    <row r="6" customFormat="false" ht="15" hidden="false" customHeight="false" outlineLevel="0" collapsed="false">
      <c r="B6" s="8" t="str">
        <f aca="false">Staff!A5</f>
        <v>Junior Researcher</v>
      </c>
      <c r="C6" s="16" t="n">
        <f aca="false">'Staff Productivity'!D6</f>
        <v>0.8</v>
      </c>
      <c r="D6" s="8" t="n">
        <v>1784</v>
      </c>
      <c r="E6" s="8" t="n">
        <f aca="false">D6*C6</f>
        <v>1427.2</v>
      </c>
      <c r="F6" s="8" t="n">
        <f aca="false">E6</f>
        <v>1427.2</v>
      </c>
    </row>
    <row r="7" customFormat="false" ht="15" hidden="false" customHeight="false" outlineLevel="0" collapsed="false">
      <c r="B7" s="8" t="str">
        <f aca="false">Staff!A6</f>
        <v>Junior Researcher II</v>
      </c>
      <c r="C7" s="16" t="n">
        <f aca="false">'Staff Productivity'!D7</f>
        <v>0.8</v>
      </c>
      <c r="D7" s="8" t="n">
        <v>1784</v>
      </c>
      <c r="E7" s="8" t="n">
        <f aca="false">D7*C7</f>
        <v>1427.2</v>
      </c>
      <c r="F7" s="8" t="n">
        <f aca="false">E7</f>
        <v>1427.2</v>
      </c>
    </row>
    <row r="8" customFormat="false" ht="15" hidden="false" customHeight="false" outlineLevel="0" collapsed="false">
      <c r="B8" s="2" t="s">
        <v>23</v>
      </c>
      <c r="C8" s="8"/>
      <c r="D8" s="8"/>
      <c r="E8" s="8"/>
      <c r="F8" s="8" t="n">
        <f aca="false">SUM(F3:F7)</f>
        <v>5530.4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2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43"/>
    <col collapsed="false" customWidth="true" hidden="false" outlineLevel="0" max="2" min="2" style="1" width="24.57"/>
    <col collapsed="false" customWidth="true" hidden="false" outlineLevel="0" max="3" min="3" style="1" width="12.29"/>
    <col collapsed="false" customWidth="true" hidden="false" outlineLevel="0" max="4" min="4" style="1" width="24.43"/>
    <col collapsed="false" customWidth="true" hidden="false" outlineLevel="0" max="5" min="5" style="1" width="17.43"/>
    <col collapsed="false" customWidth="true" hidden="false" outlineLevel="0" max="6" min="6" style="1" width="13.14"/>
  </cols>
  <sheetData>
    <row r="2" customFormat="false" ht="15" hidden="false" customHeight="false" outlineLevel="0" collapsed="false">
      <c r="B2" s="8" t="s">
        <v>0</v>
      </c>
      <c r="C2" s="5" t="s">
        <v>42</v>
      </c>
      <c r="D2" s="5" t="s">
        <v>43</v>
      </c>
      <c r="E2" s="5" t="s">
        <v>44</v>
      </c>
      <c r="F2" s="5" t="s">
        <v>45</v>
      </c>
    </row>
    <row r="3" customFormat="false" ht="15" hidden="false" customHeight="false" outlineLevel="0" collapsed="false">
      <c r="B3" s="8" t="str">
        <f aca="false">Staff!A2</f>
        <v>Project Manager</v>
      </c>
      <c r="C3" s="18" t="n">
        <f aca="false">D3*(1+'Billing Needs'!$F$6)</f>
        <v>0</v>
      </c>
      <c r="D3" s="11" t="n">
        <v>0</v>
      </c>
      <c r="E3" s="8" t="n">
        <f aca="false">Schedule!F3</f>
        <v>0</v>
      </c>
      <c r="F3" s="11" t="n">
        <f aca="false">C4*E3</f>
        <v>0</v>
      </c>
    </row>
    <row r="4" customFormat="false" ht="15" hidden="false" customHeight="false" outlineLevel="0" collapsed="false">
      <c r="B4" s="8" t="str">
        <f aca="false">Staff!A3</f>
        <v>Lead Researcher</v>
      </c>
      <c r="C4" s="18" t="n">
        <f aca="false">D4*(1+'Billing Needs'!$F$6)</f>
        <v>70</v>
      </c>
      <c r="D4" s="18" t="n">
        <f aca="false">ROUNDUP(((Staff!D3+$E$13)/E4),0)</f>
        <v>56</v>
      </c>
      <c r="E4" s="8" t="n">
        <f aca="false">Schedule!F4</f>
        <v>1248.8</v>
      </c>
      <c r="F4" s="11" t="n">
        <f aca="false">C4*E4</f>
        <v>87416</v>
      </c>
    </row>
    <row r="5" customFormat="false" ht="15" hidden="false" customHeight="false" outlineLevel="0" collapsed="false">
      <c r="B5" s="8" t="str">
        <f aca="false">Staff!A4</f>
        <v>Software Engineer</v>
      </c>
      <c r="C5" s="18" t="n">
        <f aca="false">D5*(1+'Billing Needs'!$F$6)</f>
        <v>50</v>
      </c>
      <c r="D5" s="18" t="n">
        <f aca="false">ROUNDUP(((Staff!D4+$E$13)/E5),0)</f>
        <v>40</v>
      </c>
      <c r="E5" s="8" t="n">
        <f aca="false">Schedule!F5</f>
        <v>1427.2</v>
      </c>
      <c r="F5" s="11" t="n">
        <f aca="false">C5*E5</f>
        <v>71360</v>
      </c>
    </row>
    <row r="6" customFormat="false" ht="15" hidden="false" customHeight="false" outlineLevel="0" collapsed="false">
      <c r="B6" s="8" t="str">
        <f aca="false">Staff!A5</f>
        <v>Junior Researcher</v>
      </c>
      <c r="C6" s="18" t="n">
        <f aca="false">D6*(1+'Billing Needs'!$F$6)</f>
        <v>41.25</v>
      </c>
      <c r="D6" s="18" t="n">
        <f aca="false">ROUNDUP(((Staff!D5+$E$13)/E6),0)</f>
        <v>33</v>
      </c>
      <c r="E6" s="8" t="n">
        <f aca="false">Schedule!F6</f>
        <v>1427.2</v>
      </c>
      <c r="F6" s="11" t="n">
        <f aca="false">C6*E6</f>
        <v>58872</v>
      </c>
    </row>
    <row r="7" customFormat="false" ht="15" hidden="false" customHeight="false" outlineLevel="0" collapsed="false">
      <c r="B7" s="8" t="str">
        <f aca="false">Staff!A6</f>
        <v>Junior Researcher II</v>
      </c>
      <c r="C7" s="18" t="n">
        <f aca="false">D7*(1+'Billing Needs'!$F$6)</f>
        <v>41.25</v>
      </c>
      <c r="D7" s="18" t="n">
        <f aca="false">ROUNDUP(((Staff!D6+$E$13)/E7),0)</f>
        <v>33</v>
      </c>
      <c r="E7" s="8" t="n">
        <f aca="false">Schedule!F7</f>
        <v>1427.2</v>
      </c>
      <c r="F7" s="11" t="n">
        <f aca="false">C7*E7</f>
        <v>58872</v>
      </c>
    </row>
    <row r="8" customFormat="false" ht="15" hidden="false" customHeight="false" outlineLevel="0" collapsed="false">
      <c r="B8" s="2" t="s">
        <v>23</v>
      </c>
      <c r="C8" s="8"/>
      <c r="D8" s="8"/>
      <c r="E8" s="8"/>
      <c r="F8" s="11" t="n">
        <f aca="false">SUM(F4:F7)</f>
        <v>276520</v>
      </c>
    </row>
    <row r="11" customFormat="false" ht="15" hidden="false" customHeight="false" outlineLevel="0" collapsed="false">
      <c r="B11" s="1" t="s">
        <v>46</v>
      </c>
      <c r="C11" s="1" t="s">
        <v>47</v>
      </c>
      <c r="D11" s="1" t="s">
        <v>48</v>
      </c>
    </row>
    <row r="12" customFormat="false" ht="15" hidden="false" customHeight="false" outlineLevel="0" collapsed="false">
      <c r="B12" s="19" t="n">
        <f aca="false">'Indirect Costs'!D9</f>
        <v>2831.88</v>
      </c>
      <c r="C12" s="19" t="n">
        <f aca="false">'Production Costs'!F5</f>
        <v>358.333333333333</v>
      </c>
      <c r="D12" s="20" t="n">
        <f aca="false">'Staff Productivity'!G3</f>
        <v>54600</v>
      </c>
    </row>
    <row r="13" customFormat="false" ht="15" hidden="false" customHeight="false" outlineLevel="0" collapsed="false">
      <c r="A13" s="1" t="s">
        <v>49</v>
      </c>
      <c r="B13" s="19" t="n">
        <f aca="false">B12/(Staff!$B$7-1)</f>
        <v>707.97</v>
      </c>
      <c r="C13" s="19" t="n">
        <f aca="false">C12/(Staff!$B$7-1)</f>
        <v>89.5833333333333</v>
      </c>
      <c r="D13" s="19" t="n">
        <f aca="false">D12/(Staff!$B$7-1)</f>
        <v>13650</v>
      </c>
      <c r="E13" s="19" t="n">
        <f aca="false">SUM(B13:D13)</f>
        <v>14447.5533333333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87.72"/>
    <col collapsed="false" customWidth="true" hidden="false" outlineLevel="0" max="3" min="3" style="1" width="13.14"/>
  </cols>
  <sheetData>
    <row r="2" customFormat="false" ht="15" hidden="false" customHeight="false" outlineLevel="0" collapsed="false">
      <c r="B2" s="2" t="s">
        <v>50</v>
      </c>
      <c r="C2" s="8"/>
    </row>
    <row r="3" customFormat="false" ht="15" hidden="false" customHeight="false" outlineLevel="0" collapsed="false">
      <c r="B3" s="8" t="s">
        <v>51</v>
      </c>
      <c r="C3" s="11" t="n">
        <f aca="false">'Staff Productivity'!E8</f>
        <v>123500</v>
      </c>
    </row>
    <row r="4" customFormat="false" ht="15" hidden="false" customHeight="false" outlineLevel="0" collapsed="false">
      <c r="B4" s="8" t="s">
        <v>52</v>
      </c>
      <c r="C4" s="11" t="n">
        <f aca="false">'Staff Productivity'!G8+'Indirect Costs'!D9+'Production Costs'!F5</f>
        <v>95490.2133333333</v>
      </c>
    </row>
    <row r="5" customFormat="false" ht="15" hidden="false" customHeight="false" outlineLevel="0" collapsed="false">
      <c r="B5" s="8" t="s">
        <v>53</v>
      </c>
      <c r="C5" s="11" t="n">
        <f aca="false">C3+C4</f>
        <v>218990.213333333</v>
      </c>
    </row>
    <row r="6" customFormat="false" ht="15" hidden="false" customHeight="false" outlineLevel="0" collapsed="false">
      <c r="B6" s="8" t="s">
        <v>36</v>
      </c>
      <c r="C6" s="11" t="n">
        <f aca="false">'Billing Needs'!C6</f>
        <v>54747.5533333333</v>
      </c>
    </row>
    <row r="7" customFormat="false" ht="15" hidden="false" customHeight="false" outlineLevel="0" collapsed="false">
      <c r="B7" s="8" t="s">
        <v>54</v>
      </c>
      <c r="C7" s="11" t="n">
        <f aca="false">C6+C5</f>
        <v>273737.766666667</v>
      </c>
    </row>
    <row r="8" customFormat="false" ht="15" hidden="false" customHeight="false" outlineLevel="0" collapsed="false">
      <c r="B8" s="8" t="s">
        <v>55</v>
      </c>
      <c r="C8" s="11" t="n">
        <f aca="false">'Price per Hour'!F8</f>
        <v>276520</v>
      </c>
    </row>
    <row r="9" customFormat="false" ht="15" hidden="false" customHeight="false" outlineLevel="0" collapsed="false">
      <c r="B9" s="8" t="s">
        <v>56</v>
      </c>
      <c r="C9" s="21" t="n">
        <f aca="false">C8/C7-1</f>
        <v>0.0101638636393235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6"/>
    <col collapsed="false" customWidth="true" hidden="false" outlineLevel="0" max="3" min="3" style="1" width="8.43"/>
    <col collapsed="false" customWidth="true" hidden="false" outlineLevel="0" max="4" min="4" style="1" width="40.43"/>
    <col collapsed="false" customWidth="true" hidden="false" outlineLevel="0" max="5" min="5" style="1" width="11.86"/>
    <col collapsed="false" customWidth="true" hidden="false" outlineLevel="0" max="6" min="6" style="1" width="13.3"/>
  </cols>
  <sheetData>
    <row r="2" customFormat="false" ht="15" hidden="false" customHeight="false" outlineLevel="0" collapsed="false">
      <c r="B2" s="22" t="s">
        <v>57</v>
      </c>
      <c r="C2" s="22" t="s">
        <v>58</v>
      </c>
      <c r="D2" s="22" t="s">
        <v>59</v>
      </c>
      <c r="E2" s="22" t="s">
        <v>23</v>
      </c>
      <c r="F2" s="8"/>
    </row>
    <row r="3" customFormat="false" ht="15" hidden="false" customHeight="false" outlineLevel="0" collapsed="false">
      <c r="B3" s="22" t="n">
        <v>1</v>
      </c>
      <c r="C3" s="22"/>
      <c r="D3" s="23" t="s">
        <v>60</v>
      </c>
      <c r="E3" s="24" t="n">
        <f aca="false">'Part 1'!M39</f>
        <v>6622.5</v>
      </c>
      <c r="F3" s="8"/>
    </row>
    <row r="4" customFormat="false" ht="15" hidden="false" customHeight="false" outlineLevel="0" collapsed="false">
      <c r="B4" s="22"/>
      <c r="C4" s="22" t="n">
        <v>1</v>
      </c>
      <c r="D4" s="25" t="s">
        <v>61</v>
      </c>
      <c r="E4" s="24" t="n">
        <f aca="false">'Part 1'!M3</f>
        <v>1005</v>
      </c>
      <c r="F4" s="8"/>
    </row>
    <row r="5" customFormat="false" ht="15" hidden="false" customHeight="false" outlineLevel="0" collapsed="false">
      <c r="B5" s="22"/>
      <c r="C5" s="22" t="n">
        <v>2</v>
      </c>
      <c r="D5" s="25" t="s">
        <v>62</v>
      </c>
      <c r="E5" s="24" t="n">
        <f aca="false">'Part 1'!M26</f>
        <v>5617.5</v>
      </c>
      <c r="F5" s="26"/>
    </row>
    <row r="6" customFormat="false" ht="15" hidden="false" customHeight="false" outlineLevel="0" collapsed="false">
      <c r="B6" s="22" t="n">
        <v>2</v>
      </c>
      <c r="C6" s="22"/>
      <c r="D6" s="23" t="s">
        <v>63</v>
      </c>
      <c r="E6" s="24" t="n">
        <f aca="false">'Part 2'!M39</f>
        <v>13588.75</v>
      </c>
      <c r="F6" s="26" t="n">
        <f aca="false">E6*(1+E$15)</f>
        <v>23991.5747036738</v>
      </c>
    </row>
    <row r="7" customFormat="false" ht="15" hidden="false" customHeight="false" outlineLevel="0" collapsed="false">
      <c r="B7" s="22"/>
      <c r="C7" s="22" t="n">
        <v>1</v>
      </c>
      <c r="D7" s="25" t="s">
        <v>64</v>
      </c>
      <c r="E7" s="24" t="n">
        <f aca="false">'Part 2'!M3</f>
        <v>2943.75</v>
      </c>
      <c r="F7" s="26" t="n">
        <f aca="false">E7*(1+E$15)</f>
        <v>5197.32852793228</v>
      </c>
    </row>
    <row r="8" customFormat="false" ht="15" hidden="false" customHeight="false" outlineLevel="0" collapsed="false">
      <c r="B8" s="22"/>
      <c r="C8" s="22" t="n">
        <v>2</v>
      </c>
      <c r="D8" s="25" t="s">
        <v>65</v>
      </c>
      <c r="E8" s="24" t="n">
        <f aca="false">'Part 2'!M12</f>
        <v>2722.5</v>
      </c>
      <c r="F8" s="26" t="n">
        <f aca="false">E8*(1+E$15)</f>
        <v>4806.70128825329</v>
      </c>
    </row>
    <row r="9" customFormat="false" ht="15" hidden="false" customHeight="false" outlineLevel="0" collapsed="false">
      <c r="B9" s="22"/>
      <c r="C9" s="22" t="n">
        <v>3</v>
      </c>
      <c r="D9" s="25" t="s">
        <v>66</v>
      </c>
      <c r="E9" s="24" t="n">
        <f aca="false">'Part 2'!M20</f>
        <v>7922.5</v>
      </c>
      <c r="F9" s="26" t="n">
        <f aca="false">E9*(1+E$15)</f>
        <v>13987.5448874882</v>
      </c>
    </row>
    <row r="10" customFormat="false" ht="15" hidden="false" customHeight="false" outlineLevel="0" collapsed="false">
      <c r="B10" s="22" t="n">
        <v>3</v>
      </c>
      <c r="C10" s="22"/>
      <c r="D10" s="23" t="s">
        <v>67</v>
      </c>
      <c r="E10" s="24" t="n">
        <f aca="false">'Part 3'!K21</f>
        <v>3041.25</v>
      </c>
      <c r="F10" s="26" t="n">
        <f aca="false">E10*(1+E$15)</f>
        <v>5369.46934541793</v>
      </c>
    </row>
    <row r="11" customFormat="false" ht="15" hidden="false" customHeight="false" outlineLevel="0" collapsed="false">
      <c r="B11" s="8"/>
      <c r="C11" s="8"/>
      <c r="D11" s="27" t="s">
        <v>23</v>
      </c>
      <c r="E11" s="18" t="n">
        <f aca="false">E3+E6+E10</f>
        <v>23252.5</v>
      </c>
      <c r="F11" s="26" t="n">
        <f aca="false">F6+F10</f>
        <v>29361.0440490917</v>
      </c>
    </row>
    <row r="12" customFormat="false" ht="15" hidden="false" customHeight="false" outlineLevel="0" collapsed="false">
      <c r="B12" s="8"/>
      <c r="C12" s="8"/>
      <c r="D12" s="27" t="s">
        <v>68</v>
      </c>
      <c r="E12" s="26" t="n">
        <f aca="false">E11*(1+'Billing Needs'!$F$6)</f>
        <v>29065.625</v>
      </c>
      <c r="F12" s="8"/>
    </row>
    <row r="13" customFormat="false" ht="15" hidden="false" customHeight="false" outlineLevel="0" collapsed="false">
      <c r="B13" s="8"/>
      <c r="C13" s="8"/>
      <c r="D13" s="27" t="s">
        <v>69</v>
      </c>
      <c r="E13" s="26" t="n">
        <f aca="false">Summary!C9*E12</f>
        <v>295.419049091712</v>
      </c>
      <c r="F13" s="8"/>
    </row>
    <row r="14" customFormat="false" ht="15" hidden="false" customHeight="false" outlineLevel="0" collapsed="false">
      <c r="B14" s="8"/>
      <c r="C14" s="8"/>
      <c r="D14" s="27" t="s">
        <v>70</v>
      </c>
      <c r="E14" s="26" t="n">
        <f aca="false">(E13+E12)-E11</f>
        <v>6108.54404909171</v>
      </c>
      <c r="F14" s="8"/>
    </row>
    <row r="15" customFormat="false" ht="15" hidden="false" customHeight="false" outlineLevel="0" collapsed="false">
      <c r="B15" s="8"/>
      <c r="C15" s="8"/>
      <c r="D15" s="27" t="s">
        <v>71</v>
      </c>
      <c r="E15" s="8" t="n">
        <f aca="false">(E14+E3)/(E11-E3)</f>
        <v>0.765546846006718</v>
      </c>
      <c r="F15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CFEE"/>
    <pageSetUpPr fitToPage="false"/>
  </sheetPr>
  <dimension ref="B2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1" width="6"/>
    <col collapsed="false" customWidth="true" hidden="false" outlineLevel="0" max="4" min="4" style="1" width="40.43"/>
    <col collapsed="false" customWidth="true" hidden="false" outlineLevel="0" max="5" min="5" style="1" width="12"/>
  </cols>
  <sheetData>
    <row r="2" customFormat="false" ht="15" hidden="false" customHeight="false" outlineLevel="0" collapsed="false">
      <c r="B2" s="22" t="s">
        <v>57</v>
      </c>
      <c r="C2" s="22" t="s">
        <v>58</v>
      </c>
      <c r="D2" s="22" t="s">
        <v>59</v>
      </c>
      <c r="E2" s="22" t="s">
        <v>23</v>
      </c>
    </row>
    <row r="3" customFormat="false" ht="15" hidden="false" customHeight="false" outlineLevel="0" collapsed="false">
      <c r="B3" s="22" t="n">
        <v>1</v>
      </c>
      <c r="C3" s="22"/>
      <c r="D3" s="23" t="s">
        <v>63</v>
      </c>
      <c r="E3" s="28" t="n">
        <f aca="false">Budget!F6</f>
        <v>23991.5747036738</v>
      </c>
    </row>
    <row r="4" customFormat="false" ht="15" hidden="false" customHeight="false" outlineLevel="0" collapsed="false">
      <c r="B4" s="22"/>
      <c r="C4" s="22" t="n">
        <v>1</v>
      </c>
      <c r="D4" s="25" t="s">
        <v>64</v>
      </c>
      <c r="E4" s="28" t="n">
        <f aca="false">Budget!F7</f>
        <v>5197.32852793228</v>
      </c>
    </row>
    <row r="5" customFormat="false" ht="15" hidden="false" customHeight="false" outlineLevel="0" collapsed="false">
      <c r="B5" s="22"/>
      <c r="C5" s="22" t="n">
        <v>2</v>
      </c>
      <c r="D5" s="25" t="s">
        <v>65</v>
      </c>
      <c r="E5" s="28" t="n">
        <f aca="false">Budget!F8</f>
        <v>4806.70128825329</v>
      </c>
    </row>
    <row r="6" customFormat="false" ht="15" hidden="false" customHeight="false" outlineLevel="0" collapsed="false">
      <c r="B6" s="22"/>
      <c r="C6" s="22" t="n">
        <v>3</v>
      </c>
      <c r="D6" s="25" t="s">
        <v>66</v>
      </c>
      <c r="E6" s="28" t="n">
        <f aca="false">Budget!F9</f>
        <v>13987.5448874882</v>
      </c>
    </row>
    <row r="7" customFormat="false" ht="15" hidden="false" customHeight="false" outlineLevel="0" collapsed="false">
      <c r="B7" s="22" t="n">
        <v>2</v>
      </c>
      <c r="C7" s="22"/>
      <c r="D7" s="23" t="s">
        <v>67</v>
      </c>
      <c r="E7" s="28" t="n">
        <f aca="false">Budget!F10</f>
        <v>5369.46934541793</v>
      </c>
    </row>
    <row r="8" customFormat="false" ht="15" hidden="false" customHeight="false" outlineLevel="0" collapsed="false">
      <c r="B8" s="27" t="s">
        <v>23</v>
      </c>
      <c r="C8" s="27"/>
      <c r="D8" s="27"/>
      <c r="E8" s="26" t="n">
        <f aca="false">E3+E7</f>
        <v>29361.0440490917</v>
      </c>
    </row>
  </sheetData>
  <mergeCells count="1">
    <mergeCell ref="B8:D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4F15"/>
    <pageSetUpPr fitToPage="false"/>
  </sheetPr>
  <dimension ref="B2:M39"/>
  <sheetViews>
    <sheetView showFormulas="false" showGridLines="true" showRowColHeaders="true" showZeros="true" rightToLeft="false" tabSelected="false" showOutlineSymbols="true" defaultGridColor="true" view="normal" topLeftCell="F4" colorId="64" zoomScale="100" zoomScaleNormal="100" zoomScalePageLayoutView="100" workbookViewId="0">
      <selection pane="topLeft" activeCell="F30" activeCellId="0" sqref="F3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6" min="6" style="1" width="48.14"/>
    <col collapsed="false" customWidth="true" hidden="false" outlineLevel="0" max="7" min="7" style="1" width="9"/>
    <col collapsed="false" customWidth="true" hidden="false" outlineLevel="0" max="8" min="8" style="1" width="9.43"/>
    <col collapsed="false" customWidth="true" hidden="false" outlineLevel="0" max="9" min="9" style="1" width="8.43"/>
    <col collapsed="false" customWidth="true" hidden="false" outlineLevel="0" max="10" min="10" style="1" width="10.7"/>
    <col collapsed="false" customWidth="true" hidden="false" outlineLevel="0" max="11" min="11" style="1" width="11.15"/>
    <col collapsed="false" customWidth="true" hidden="false" outlineLevel="0" max="12" min="12" style="1" width="10.7"/>
    <col collapsed="false" customWidth="true" hidden="false" outlineLevel="0" max="13" min="13" style="1" width="11"/>
  </cols>
  <sheetData>
    <row r="2" customFormat="false" ht="15" hidden="false" customHeight="false" outlineLevel="0" collapsed="false">
      <c r="B2" s="29" t="s">
        <v>72</v>
      </c>
      <c r="C2" s="29" t="s">
        <v>73</v>
      </c>
      <c r="D2" s="29" t="s">
        <v>74</v>
      </c>
      <c r="E2" s="29" t="s">
        <v>75</v>
      </c>
      <c r="F2" s="8" t="s">
        <v>76</v>
      </c>
      <c r="G2" s="8" t="s">
        <v>77</v>
      </c>
      <c r="H2" s="8" t="s">
        <v>25</v>
      </c>
      <c r="I2" s="8" t="s">
        <v>26</v>
      </c>
      <c r="J2" s="8" t="s">
        <v>78</v>
      </c>
      <c r="K2" s="8" t="s">
        <v>79</v>
      </c>
      <c r="L2" s="8" t="s">
        <v>80</v>
      </c>
      <c r="M2" s="8" t="s">
        <v>23</v>
      </c>
    </row>
    <row r="3" customFormat="false" ht="15" hidden="false" customHeight="false" outlineLevel="0" collapsed="false">
      <c r="B3" s="30" t="s">
        <v>81</v>
      </c>
      <c r="C3" s="29"/>
      <c r="D3" s="29"/>
      <c r="E3" s="29"/>
      <c r="F3" s="31" t="s">
        <v>61</v>
      </c>
      <c r="G3" s="32"/>
      <c r="H3" s="13"/>
      <c r="I3" s="11"/>
      <c r="J3" s="11"/>
      <c r="K3" s="11"/>
      <c r="L3" s="11"/>
      <c r="M3" s="11" t="n">
        <f aca="false">L4+L9+L17</f>
        <v>1005</v>
      </c>
    </row>
    <row r="4" customFormat="false" ht="15" hidden="false" customHeight="false" outlineLevel="0" collapsed="false">
      <c r="B4" s="29"/>
      <c r="C4" s="29" t="s">
        <v>81</v>
      </c>
      <c r="D4" s="29"/>
      <c r="E4" s="29"/>
      <c r="F4" s="33" t="s">
        <v>82</v>
      </c>
      <c r="G4" s="32"/>
      <c r="H4" s="13"/>
      <c r="I4" s="11"/>
      <c r="J4" s="11"/>
      <c r="K4" s="11"/>
      <c r="L4" s="11" t="n">
        <f aca="false">K5</f>
        <v>0</v>
      </c>
      <c r="M4" s="11"/>
    </row>
    <row r="5" customFormat="false" ht="15" hidden="false" customHeight="false" outlineLevel="0" collapsed="false">
      <c r="B5" s="29"/>
      <c r="C5" s="29"/>
      <c r="D5" s="29" t="s">
        <v>81</v>
      </c>
      <c r="E5" s="29"/>
      <c r="F5" s="34" t="s">
        <v>83</v>
      </c>
      <c r="G5" s="32"/>
      <c r="H5" s="13"/>
      <c r="I5" s="11"/>
      <c r="J5" s="11"/>
      <c r="K5" s="11" t="n">
        <f aca="false">J6</f>
        <v>0</v>
      </c>
      <c r="M5" s="11"/>
    </row>
    <row r="6" customFormat="false" ht="15" hidden="false" customHeight="false" outlineLevel="0" collapsed="false">
      <c r="B6" s="29"/>
      <c r="C6" s="29"/>
      <c r="D6" s="29"/>
      <c r="E6" s="29" t="s">
        <v>81</v>
      </c>
      <c r="F6" s="35" t="s">
        <v>5</v>
      </c>
      <c r="G6" s="32" t="n">
        <v>6</v>
      </c>
      <c r="H6" s="13" t="s">
        <v>84</v>
      </c>
      <c r="I6" s="11" t="n">
        <f aca="false">'Price per Hour'!C3</f>
        <v>0</v>
      </c>
      <c r="J6" s="11" t="n">
        <f aca="false">I6*G6</f>
        <v>0</v>
      </c>
      <c r="L6" s="11"/>
      <c r="M6" s="11"/>
    </row>
    <row r="7" customFormat="false" ht="15" hidden="false" customHeight="false" outlineLevel="0" collapsed="false">
      <c r="B7" s="29"/>
      <c r="C7" s="29"/>
      <c r="D7" s="29" t="s">
        <v>85</v>
      </c>
      <c r="E7" s="29"/>
      <c r="F7" s="34" t="s">
        <v>86</v>
      </c>
      <c r="G7" s="32"/>
      <c r="H7" s="13"/>
      <c r="I7" s="11"/>
      <c r="J7" s="11"/>
      <c r="K7" s="11"/>
      <c r="L7" s="11"/>
      <c r="M7" s="11"/>
    </row>
    <row r="8" customFormat="false" ht="15" hidden="false" customHeight="false" outlineLevel="0" collapsed="false">
      <c r="B8" s="29"/>
      <c r="C8" s="29"/>
      <c r="D8" s="29"/>
      <c r="E8" s="29" t="s">
        <v>81</v>
      </c>
      <c r="F8" s="35" t="s">
        <v>5</v>
      </c>
      <c r="G8" s="32" t="n">
        <v>3</v>
      </c>
      <c r="H8" s="13" t="s">
        <v>84</v>
      </c>
      <c r="I8" s="11" t="n">
        <f aca="false">'Price per Hour'!C3</f>
        <v>0</v>
      </c>
      <c r="J8" s="11" t="n">
        <f aca="false">I8*G8</f>
        <v>0</v>
      </c>
      <c r="L8" s="11"/>
      <c r="M8" s="11"/>
    </row>
    <row r="9" customFormat="false" ht="15" hidden="false" customHeight="false" outlineLevel="0" collapsed="false">
      <c r="B9" s="29"/>
      <c r="C9" s="29" t="s">
        <v>85</v>
      </c>
      <c r="D9" s="29"/>
      <c r="E9" s="29"/>
      <c r="F9" s="33" t="s">
        <v>87</v>
      </c>
      <c r="G9" s="32"/>
      <c r="H9" s="13"/>
      <c r="I9" s="11"/>
      <c r="J9" s="11"/>
      <c r="K9" s="11"/>
      <c r="L9" s="11" t="n">
        <f aca="false">K10+K12+K15</f>
        <v>1005</v>
      </c>
      <c r="M9" s="11"/>
    </row>
    <row r="10" customFormat="false" ht="15" hidden="false" customHeight="false" outlineLevel="0" collapsed="false">
      <c r="B10" s="29"/>
      <c r="C10" s="29"/>
      <c r="D10" s="29" t="s">
        <v>81</v>
      </c>
      <c r="E10" s="29"/>
      <c r="F10" s="36" t="s">
        <v>88</v>
      </c>
      <c r="G10" s="32"/>
      <c r="H10" s="13"/>
      <c r="I10" s="11"/>
      <c r="J10" s="11"/>
      <c r="K10" s="11" t="n">
        <f aca="false">J11</f>
        <v>210</v>
      </c>
      <c r="L10" s="11"/>
      <c r="M10" s="11"/>
    </row>
    <row r="11" customFormat="false" ht="15" hidden="false" customHeight="false" outlineLevel="0" collapsed="false">
      <c r="B11" s="29"/>
      <c r="C11" s="29"/>
      <c r="D11" s="29"/>
      <c r="E11" s="29" t="s">
        <v>81</v>
      </c>
      <c r="F11" s="35" t="s">
        <v>6</v>
      </c>
      <c r="G11" s="32" t="n">
        <v>3</v>
      </c>
      <c r="H11" s="13" t="s">
        <v>84</v>
      </c>
      <c r="I11" s="11" t="n">
        <f aca="false">'Price per Hour'!C4</f>
        <v>70</v>
      </c>
      <c r="J11" s="11" t="n">
        <f aca="false">I11*G11</f>
        <v>210</v>
      </c>
      <c r="K11" s="11"/>
      <c r="L11" s="11"/>
      <c r="M11" s="11"/>
    </row>
    <row r="12" customFormat="false" ht="15" hidden="false" customHeight="false" outlineLevel="0" collapsed="false">
      <c r="B12" s="29"/>
      <c r="C12" s="29"/>
      <c r="D12" s="29" t="s">
        <v>85</v>
      </c>
      <c r="E12" s="29"/>
      <c r="F12" s="36" t="s">
        <v>89</v>
      </c>
      <c r="G12" s="32"/>
      <c r="H12" s="13"/>
      <c r="I12" s="11"/>
      <c r="J12" s="11"/>
      <c r="K12" s="11" t="n">
        <f aca="false">SUM(J13:J14)</f>
        <v>720</v>
      </c>
      <c r="L12" s="11"/>
      <c r="M12" s="11"/>
    </row>
    <row r="13" customFormat="false" ht="15" hidden="false" customHeight="false" outlineLevel="0" collapsed="false">
      <c r="B13" s="29"/>
      <c r="C13" s="29"/>
      <c r="D13" s="29"/>
      <c r="E13" s="29" t="s">
        <v>81</v>
      </c>
      <c r="F13" s="35" t="s">
        <v>6</v>
      </c>
      <c r="G13" s="32" t="n">
        <v>6</v>
      </c>
      <c r="H13" s="13" t="s">
        <v>84</v>
      </c>
      <c r="I13" s="11" t="n">
        <f aca="false">'Price per Hour'!C4</f>
        <v>70</v>
      </c>
      <c r="J13" s="11" t="n">
        <f aca="false">I13*G13</f>
        <v>420</v>
      </c>
      <c r="K13" s="11"/>
      <c r="L13" s="11"/>
      <c r="M13" s="11"/>
    </row>
    <row r="14" customFormat="false" ht="15" hidden="false" customHeight="false" outlineLevel="0" collapsed="false">
      <c r="B14" s="29"/>
      <c r="C14" s="29"/>
      <c r="D14" s="29"/>
      <c r="E14" s="29" t="s">
        <v>85</v>
      </c>
      <c r="F14" s="35" t="s">
        <v>7</v>
      </c>
      <c r="G14" s="32" t="n">
        <v>6</v>
      </c>
      <c r="H14" s="13" t="s">
        <v>84</v>
      </c>
      <c r="I14" s="11" t="n">
        <f aca="false">'Price per Hour'!C5</f>
        <v>50</v>
      </c>
      <c r="J14" s="11" t="n">
        <f aca="false">I14*G14</f>
        <v>300</v>
      </c>
      <c r="K14" s="11"/>
      <c r="L14" s="11"/>
      <c r="M14" s="11"/>
    </row>
    <row r="15" customFormat="false" ht="15" hidden="false" customHeight="false" outlineLevel="0" collapsed="false">
      <c r="B15" s="29"/>
      <c r="C15" s="29"/>
      <c r="D15" s="29" t="s">
        <v>90</v>
      </c>
      <c r="E15" s="29"/>
      <c r="F15" s="34" t="s">
        <v>91</v>
      </c>
      <c r="G15" s="32"/>
      <c r="H15" s="13"/>
      <c r="I15" s="11"/>
      <c r="J15" s="11"/>
      <c r="K15" s="11" t="n">
        <f aca="false">J16</f>
        <v>75</v>
      </c>
      <c r="L15" s="11"/>
      <c r="M15" s="11"/>
    </row>
    <row r="16" customFormat="false" ht="15" hidden="false" customHeight="false" outlineLevel="0" collapsed="false">
      <c r="B16" s="29"/>
      <c r="C16" s="29"/>
      <c r="D16" s="29"/>
      <c r="E16" s="29" t="s">
        <v>81</v>
      </c>
      <c r="F16" s="35" t="s">
        <v>7</v>
      </c>
      <c r="G16" s="32" t="n">
        <v>1.5</v>
      </c>
      <c r="H16" s="13" t="s">
        <v>84</v>
      </c>
      <c r="I16" s="11" t="n">
        <f aca="false">'Price per Hour'!C5</f>
        <v>50</v>
      </c>
      <c r="J16" s="11" t="n">
        <f aca="false">I16*G16</f>
        <v>75</v>
      </c>
      <c r="K16" s="11"/>
      <c r="L16" s="11"/>
      <c r="M16" s="11"/>
    </row>
    <row r="17" customFormat="false" ht="15" hidden="false" customHeight="false" outlineLevel="0" collapsed="false">
      <c r="B17" s="29"/>
      <c r="C17" s="29" t="s">
        <v>90</v>
      </c>
      <c r="D17" s="29"/>
      <c r="E17" s="29"/>
      <c r="F17" s="33" t="s">
        <v>92</v>
      </c>
      <c r="G17" s="32"/>
      <c r="H17" s="13"/>
      <c r="I17" s="11"/>
      <c r="J17" s="11"/>
      <c r="K17" s="11"/>
      <c r="L17" s="11" t="n">
        <f aca="false">K18+K20+K22+K24</f>
        <v>0</v>
      </c>
      <c r="M17" s="11"/>
    </row>
    <row r="18" customFormat="false" ht="15" hidden="false" customHeight="false" outlineLevel="0" collapsed="false">
      <c r="B18" s="29"/>
      <c r="C18" s="29"/>
      <c r="D18" s="29" t="s">
        <v>81</v>
      </c>
      <c r="E18" s="29"/>
      <c r="F18" s="34" t="s">
        <v>93</v>
      </c>
      <c r="G18" s="32"/>
      <c r="H18" s="13"/>
      <c r="I18" s="11"/>
      <c r="J18" s="11"/>
      <c r="K18" s="11" t="n">
        <f aca="false">J19</f>
        <v>0</v>
      </c>
      <c r="L18" s="11"/>
      <c r="M18" s="11"/>
    </row>
    <row r="19" customFormat="false" ht="15" hidden="false" customHeight="false" outlineLevel="0" collapsed="false">
      <c r="B19" s="29"/>
      <c r="C19" s="29"/>
      <c r="D19" s="29"/>
      <c r="E19" s="29" t="s">
        <v>81</v>
      </c>
      <c r="F19" s="35" t="s">
        <v>5</v>
      </c>
      <c r="G19" s="32" t="n">
        <v>3</v>
      </c>
      <c r="H19" s="13" t="s">
        <v>84</v>
      </c>
      <c r="I19" s="11" t="n">
        <f aca="false">'Price per Hour'!C3</f>
        <v>0</v>
      </c>
      <c r="J19" s="11" t="n">
        <f aca="false">I19*G19</f>
        <v>0</v>
      </c>
      <c r="K19" s="11"/>
      <c r="L19" s="11"/>
      <c r="M19" s="11"/>
    </row>
    <row r="20" customFormat="false" ht="15" hidden="false" customHeight="false" outlineLevel="0" collapsed="false">
      <c r="B20" s="29"/>
      <c r="C20" s="29"/>
      <c r="D20" s="29" t="s">
        <v>85</v>
      </c>
      <c r="E20" s="29"/>
      <c r="F20" s="34" t="s">
        <v>94</v>
      </c>
      <c r="G20" s="32"/>
      <c r="H20" s="13"/>
      <c r="I20" s="11"/>
      <c r="J20" s="11"/>
      <c r="K20" s="11" t="n">
        <f aca="false">J21</f>
        <v>0</v>
      </c>
      <c r="L20" s="11"/>
      <c r="M20" s="11"/>
    </row>
    <row r="21" customFormat="false" ht="15" hidden="false" customHeight="false" outlineLevel="0" collapsed="false">
      <c r="B21" s="29"/>
      <c r="C21" s="29"/>
      <c r="D21" s="29"/>
      <c r="E21" s="29" t="s">
        <v>81</v>
      </c>
      <c r="F21" s="35" t="s">
        <v>5</v>
      </c>
      <c r="G21" s="32" t="n">
        <v>18</v>
      </c>
      <c r="H21" s="13" t="s">
        <v>84</v>
      </c>
      <c r="I21" s="11" t="n">
        <f aca="false">'Price per Hour'!C3</f>
        <v>0</v>
      </c>
      <c r="J21" s="11" t="n">
        <f aca="false">I21*G21</f>
        <v>0</v>
      </c>
      <c r="K21" s="11"/>
      <c r="L21" s="11"/>
      <c r="M21" s="11"/>
    </row>
    <row r="22" customFormat="false" ht="15" hidden="false" customHeight="false" outlineLevel="0" collapsed="false">
      <c r="B22" s="29"/>
      <c r="C22" s="29"/>
      <c r="D22" s="29" t="s">
        <v>90</v>
      </c>
      <c r="E22" s="29"/>
      <c r="F22" s="34" t="s">
        <v>95</v>
      </c>
      <c r="G22" s="32"/>
      <c r="H22" s="13"/>
      <c r="I22" s="11"/>
      <c r="J22" s="11"/>
      <c r="K22" s="11" t="n">
        <f aca="false">J23</f>
        <v>0</v>
      </c>
      <c r="L22" s="11"/>
      <c r="M22" s="11"/>
    </row>
    <row r="23" customFormat="false" ht="15" hidden="false" customHeight="false" outlineLevel="0" collapsed="false">
      <c r="B23" s="29"/>
      <c r="C23" s="29"/>
      <c r="D23" s="29"/>
      <c r="E23" s="29" t="s">
        <v>81</v>
      </c>
      <c r="F23" s="35" t="s">
        <v>5</v>
      </c>
      <c r="G23" s="32" t="n">
        <v>18</v>
      </c>
      <c r="H23" s="13" t="s">
        <v>84</v>
      </c>
      <c r="I23" s="11" t="n">
        <f aca="false">'Price per Hour'!C3</f>
        <v>0</v>
      </c>
      <c r="J23" s="11" t="n">
        <f aca="false">I23*G23</f>
        <v>0</v>
      </c>
      <c r="K23" s="11"/>
      <c r="L23" s="11"/>
      <c r="M23" s="11"/>
    </row>
    <row r="24" customFormat="false" ht="15" hidden="false" customHeight="false" outlineLevel="0" collapsed="false">
      <c r="B24" s="29"/>
      <c r="C24" s="29"/>
      <c r="D24" s="29" t="s">
        <v>96</v>
      </c>
      <c r="E24" s="29"/>
      <c r="F24" s="34" t="s">
        <v>97</v>
      </c>
      <c r="G24" s="32"/>
      <c r="H24" s="13"/>
      <c r="I24" s="11"/>
      <c r="J24" s="11"/>
      <c r="K24" s="11" t="n">
        <f aca="false">J25</f>
        <v>0</v>
      </c>
      <c r="L24" s="11"/>
      <c r="M24" s="11"/>
    </row>
    <row r="25" customFormat="false" ht="15" hidden="false" customHeight="false" outlineLevel="0" collapsed="false">
      <c r="B25" s="29"/>
      <c r="C25" s="29"/>
      <c r="D25" s="29"/>
      <c r="E25" s="29" t="s">
        <v>81</v>
      </c>
      <c r="F25" s="35" t="s">
        <v>5</v>
      </c>
      <c r="G25" s="32" t="n">
        <v>18</v>
      </c>
      <c r="H25" s="13" t="s">
        <v>84</v>
      </c>
      <c r="I25" s="11" t="n">
        <f aca="false">'Price per Hour'!C3</f>
        <v>0</v>
      </c>
      <c r="J25" s="11" t="n">
        <f aca="false">I25*G25</f>
        <v>0</v>
      </c>
      <c r="K25" s="11"/>
      <c r="L25" s="11"/>
      <c r="M25" s="11"/>
    </row>
    <row r="26" customFormat="false" ht="15" hidden="false" customHeight="false" outlineLevel="0" collapsed="false">
      <c r="B26" s="29" t="s">
        <v>85</v>
      </c>
      <c r="C26" s="29"/>
      <c r="D26" s="29"/>
      <c r="E26" s="29"/>
      <c r="F26" s="31" t="s">
        <v>98</v>
      </c>
      <c r="G26" s="32"/>
      <c r="H26" s="13"/>
      <c r="I26" s="11"/>
      <c r="J26" s="11"/>
      <c r="K26" s="11"/>
      <c r="L26" s="11"/>
      <c r="M26" s="11" t="n">
        <f aca="false">L27+L30+L33+L36</f>
        <v>5617.5</v>
      </c>
    </row>
    <row r="27" customFormat="false" ht="15" hidden="false" customHeight="false" outlineLevel="0" collapsed="false">
      <c r="B27" s="29"/>
      <c r="C27" s="29" t="s">
        <v>81</v>
      </c>
      <c r="D27" s="29"/>
      <c r="E27" s="29"/>
      <c r="F27" s="33" t="s">
        <v>99</v>
      </c>
      <c r="G27" s="32"/>
      <c r="H27" s="13"/>
      <c r="I27" s="11"/>
      <c r="J27" s="11"/>
      <c r="K27" s="11"/>
      <c r="L27" s="11" t="n">
        <f aca="false">K28+K29</f>
        <v>2722.5</v>
      </c>
      <c r="M27" s="11"/>
    </row>
    <row r="28" customFormat="false" ht="15" hidden="false" customHeight="false" outlineLevel="0" collapsed="false">
      <c r="B28" s="29"/>
      <c r="C28" s="29"/>
      <c r="D28" s="29" t="s">
        <v>81</v>
      </c>
      <c r="E28" s="29"/>
      <c r="F28" s="37" t="s">
        <v>100</v>
      </c>
      <c r="G28" s="32" t="n">
        <v>33</v>
      </c>
      <c r="H28" s="13" t="s">
        <v>84</v>
      </c>
      <c r="I28" s="11" t="n">
        <f aca="false">'Price per Hour'!C6</f>
        <v>41.25</v>
      </c>
      <c r="J28" s="11"/>
      <c r="K28" s="11" t="n">
        <f aca="false">G28*I28</f>
        <v>1361.25</v>
      </c>
      <c r="L28" s="11"/>
      <c r="M28" s="11"/>
    </row>
    <row r="29" customFormat="false" ht="15" hidden="false" customHeight="false" outlineLevel="0" collapsed="false">
      <c r="B29" s="29"/>
      <c r="C29" s="29"/>
      <c r="D29" s="29" t="s">
        <v>85</v>
      </c>
      <c r="E29" s="29"/>
      <c r="F29" s="37" t="s">
        <v>101</v>
      </c>
      <c r="G29" s="32" t="n">
        <v>33</v>
      </c>
      <c r="H29" s="13" t="s">
        <v>84</v>
      </c>
      <c r="I29" s="11" t="n">
        <f aca="false">'Price per Hour'!C7</f>
        <v>41.25</v>
      </c>
      <c r="J29" s="11"/>
      <c r="K29" s="11" t="n">
        <f aca="false">G29*I29</f>
        <v>1361.25</v>
      </c>
      <c r="L29" s="11"/>
      <c r="M29" s="11"/>
    </row>
    <row r="30" customFormat="false" ht="15" hidden="false" customHeight="false" outlineLevel="0" collapsed="false">
      <c r="B30" s="29"/>
      <c r="C30" s="29" t="s">
        <v>85</v>
      </c>
      <c r="D30" s="29"/>
      <c r="E30" s="29"/>
      <c r="F30" s="33" t="s">
        <v>102</v>
      </c>
      <c r="G30" s="32"/>
      <c r="H30" s="13"/>
      <c r="I30" s="11"/>
      <c r="J30" s="11"/>
      <c r="K30" s="11"/>
      <c r="L30" s="11" t="n">
        <f aca="false">K31+K32</f>
        <v>1237.5</v>
      </c>
      <c r="M30" s="11"/>
    </row>
    <row r="31" customFormat="false" ht="15" hidden="false" customHeight="false" outlineLevel="0" collapsed="false">
      <c r="B31" s="29"/>
      <c r="C31" s="29"/>
      <c r="D31" s="29" t="s">
        <v>81</v>
      </c>
      <c r="E31" s="29"/>
      <c r="F31" s="37" t="s">
        <v>100</v>
      </c>
      <c r="G31" s="32" t="n">
        <v>15</v>
      </c>
      <c r="H31" s="13" t="s">
        <v>84</v>
      </c>
      <c r="I31" s="11" t="n">
        <f aca="false">'Price per Hour'!C6</f>
        <v>41.25</v>
      </c>
      <c r="J31" s="11"/>
      <c r="K31" s="11" t="n">
        <f aca="false">G31*I31</f>
        <v>618.75</v>
      </c>
      <c r="L31" s="11"/>
      <c r="M31" s="11"/>
    </row>
    <row r="32" customFormat="false" ht="15" hidden="false" customHeight="false" outlineLevel="0" collapsed="false">
      <c r="B32" s="29"/>
      <c r="C32" s="29"/>
      <c r="D32" s="29" t="s">
        <v>85</v>
      </c>
      <c r="E32" s="29"/>
      <c r="F32" s="37" t="s">
        <v>101</v>
      </c>
      <c r="G32" s="32" t="n">
        <v>15</v>
      </c>
      <c r="H32" s="13" t="s">
        <v>84</v>
      </c>
      <c r="I32" s="11" t="n">
        <f aca="false">'Price per Hour'!C7</f>
        <v>41.25</v>
      </c>
      <c r="J32" s="11"/>
      <c r="K32" s="11" t="n">
        <f aca="false">G32*I32</f>
        <v>618.75</v>
      </c>
      <c r="L32" s="11"/>
      <c r="M32" s="11"/>
    </row>
    <row r="33" customFormat="false" ht="15" hidden="false" customHeight="false" outlineLevel="0" collapsed="false">
      <c r="B33" s="29"/>
      <c r="C33" s="29" t="s">
        <v>90</v>
      </c>
      <c r="D33" s="29"/>
      <c r="E33" s="29"/>
      <c r="F33" s="33" t="s">
        <v>103</v>
      </c>
      <c r="G33" s="32"/>
      <c r="H33" s="13"/>
      <c r="I33" s="11"/>
      <c r="J33" s="11"/>
      <c r="K33" s="11"/>
      <c r="L33" s="11" t="n">
        <f aca="false">K34+K35</f>
        <v>1237.5</v>
      </c>
      <c r="M33" s="11"/>
    </row>
    <row r="34" customFormat="false" ht="15" hidden="false" customHeight="false" outlineLevel="0" collapsed="false">
      <c r="B34" s="29"/>
      <c r="C34" s="29"/>
      <c r="D34" s="29" t="s">
        <v>81</v>
      </c>
      <c r="E34" s="29"/>
      <c r="F34" s="37" t="s">
        <v>100</v>
      </c>
      <c r="G34" s="32" t="n">
        <v>15</v>
      </c>
      <c r="H34" s="13" t="s">
        <v>84</v>
      </c>
      <c r="I34" s="11" t="n">
        <f aca="false">'Price per Hour'!C6</f>
        <v>41.25</v>
      </c>
      <c r="J34" s="11"/>
      <c r="K34" s="11" t="n">
        <f aca="false">G34*I34</f>
        <v>618.75</v>
      </c>
      <c r="L34" s="11"/>
      <c r="M34" s="11"/>
    </row>
    <row r="35" customFormat="false" ht="15" hidden="false" customHeight="false" outlineLevel="0" collapsed="false">
      <c r="B35" s="29"/>
      <c r="C35" s="29"/>
      <c r="D35" s="29" t="s">
        <v>85</v>
      </c>
      <c r="E35" s="29"/>
      <c r="F35" s="37" t="s">
        <v>101</v>
      </c>
      <c r="G35" s="32" t="n">
        <v>15</v>
      </c>
      <c r="H35" s="13" t="s">
        <v>84</v>
      </c>
      <c r="I35" s="11" t="n">
        <f aca="false">'Price per Hour'!C7</f>
        <v>41.25</v>
      </c>
      <c r="J35" s="11"/>
      <c r="K35" s="11" t="n">
        <f aca="false">G35*I35</f>
        <v>618.75</v>
      </c>
      <c r="L35" s="11"/>
      <c r="M35" s="11"/>
    </row>
    <row r="36" customFormat="false" ht="15" hidden="false" customHeight="false" outlineLevel="0" collapsed="false">
      <c r="B36" s="29"/>
      <c r="C36" s="29" t="s">
        <v>96</v>
      </c>
      <c r="D36" s="29"/>
      <c r="E36" s="29"/>
      <c r="F36" s="33" t="s">
        <v>104</v>
      </c>
      <c r="G36" s="32"/>
      <c r="H36" s="13"/>
      <c r="I36" s="11"/>
      <c r="J36" s="11"/>
      <c r="K36" s="11"/>
      <c r="L36" s="11" t="n">
        <f aca="false">K37</f>
        <v>420</v>
      </c>
      <c r="M36" s="11"/>
    </row>
    <row r="37" customFormat="false" ht="15" hidden="false" customHeight="false" outlineLevel="0" collapsed="false">
      <c r="B37" s="29"/>
      <c r="C37" s="29"/>
      <c r="D37" s="29" t="s">
        <v>81</v>
      </c>
      <c r="E37" s="29"/>
      <c r="F37" s="37" t="s">
        <v>6</v>
      </c>
      <c r="G37" s="32" t="n">
        <v>6</v>
      </c>
      <c r="H37" s="13" t="s">
        <v>84</v>
      </c>
      <c r="I37" s="11" t="n">
        <f aca="false">'Price per Hour'!C4</f>
        <v>70</v>
      </c>
      <c r="J37" s="11"/>
      <c r="K37" s="11" t="n">
        <f aca="false">G37*I37</f>
        <v>420</v>
      </c>
      <c r="L37" s="11"/>
      <c r="M37" s="11"/>
    </row>
    <row r="39" customFormat="false" ht="15" hidden="false" customHeight="false" outlineLevel="0" collapsed="false">
      <c r="B39" s="38" t="s">
        <v>4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11" t="n">
        <f aca="false">SUM(M3:M37)</f>
        <v>6622.5</v>
      </c>
    </row>
  </sheetData>
  <mergeCells count="1">
    <mergeCell ref="B39:L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D973"/>
    <pageSetUpPr fitToPage="false"/>
  </sheetPr>
  <dimension ref="B2:M3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M39" activeCellId="0" sqref="M39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5" min="2" style="1" width="7.15"/>
    <col collapsed="false" customWidth="true" hidden="false" outlineLevel="0" max="6" min="6" style="1" width="36.14"/>
    <col collapsed="false" customWidth="true" hidden="false" outlineLevel="0" max="7" min="7" style="1" width="8.43"/>
    <col collapsed="false" customWidth="true" hidden="false" outlineLevel="0" max="8" min="8" style="1" width="6.29"/>
    <col collapsed="false" customWidth="true" hidden="false" outlineLevel="0" max="9" min="9" style="1" width="8.43"/>
    <col collapsed="false" customWidth="true" hidden="false" outlineLevel="0" max="10" min="10" style="1" width="10.7"/>
    <col collapsed="false" customWidth="true" hidden="false" outlineLevel="0" max="11" min="11" style="1" width="11.15"/>
    <col collapsed="false" customWidth="true" hidden="false" outlineLevel="0" max="12" min="12" style="1" width="11"/>
    <col collapsed="false" customWidth="true" hidden="false" outlineLevel="0" max="13" min="13" style="1" width="11.37"/>
  </cols>
  <sheetData>
    <row r="2" customFormat="false" ht="14.25" hidden="false" customHeight="false" outlineLevel="0" collapsed="false">
      <c r="B2" s="29" t="s">
        <v>72</v>
      </c>
      <c r="C2" s="29" t="s">
        <v>73</v>
      </c>
      <c r="D2" s="29" t="s">
        <v>74</v>
      </c>
      <c r="E2" s="29" t="s">
        <v>75</v>
      </c>
      <c r="F2" s="8" t="s">
        <v>76</v>
      </c>
      <c r="G2" s="8" t="s">
        <v>77</v>
      </c>
      <c r="H2" s="8" t="s">
        <v>25</v>
      </c>
      <c r="I2" s="8" t="s">
        <v>26</v>
      </c>
      <c r="J2" s="8" t="s">
        <v>78</v>
      </c>
      <c r="K2" s="8" t="s">
        <v>79</v>
      </c>
      <c r="L2" s="8" t="s">
        <v>80</v>
      </c>
      <c r="M2" s="8" t="s">
        <v>23</v>
      </c>
    </row>
    <row r="3" customFormat="false" ht="15" hidden="false" customHeight="false" outlineLevel="0" collapsed="false">
      <c r="B3" s="30" t="s">
        <v>81</v>
      </c>
      <c r="C3" s="29"/>
      <c r="D3" s="29"/>
      <c r="E3" s="29"/>
      <c r="F3" s="31" t="s">
        <v>64</v>
      </c>
      <c r="G3" s="32"/>
      <c r="H3" s="13"/>
      <c r="I3" s="11"/>
      <c r="J3" s="11"/>
      <c r="K3" s="11"/>
      <c r="L3" s="11"/>
      <c r="M3" s="11" t="n">
        <f aca="false">L4+L6+L8+L10</f>
        <v>2943.75</v>
      </c>
    </row>
    <row r="4" customFormat="false" ht="14.25" hidden="false" customHeight="false" outlineLevel="0" collapsed="false">
      <c r="B4" s="29"/>
      <c r="C4" s="29" t="s">
        <v>81</v>
      </c>
      <c r="D4" s="29"/>
      <c r="E4" s="29"/>
      <c r="F4" s="33" t="s">
        <v>105</v>
      </c>
      <c r="G4" s="32"/>
      <c r="H4" s="13"/>
      <c r="I4" s="11"/>
      <c r="J4" s="11"/>
      <c r="K4" s="11"/>
      <c r="L4" s="11" t="n">
        <f aca="false">K5</f>
        <v>2100</v>
      </c>
      <c r="M4" s="11"/>
    </row>
    <row r="5" customFormat="false" ht="14.25" hidden="false" customHeight="false" outlineLevel="0" collapsed="false">
      <c r="B5" s="29"/>
      <c r="C5" s="29"/>
      <c r="D5" s="29" t="s">
        <v>81</v>
      </c>
      <c r="E5" s="29"/>
      <c r="F5" s="37" t="s">
        <v>6</v>
      </c>
      <c r="G5" s="32" t="n">
        <v>30</v>
      </c>
      <c r="H5" s="13" t="s">
        <v>84</v>
      </c>
      <c r="I5" s="11" t="n">
        <f aca="false">'Price per Hour'!C$4</f>
        <v>70</v>
      </c>
      <c r="J5" s="11"/>
      <c r="K5" s="11" t="n">
        <f aca="false">I5*G5</f>
        <v>2100</v>
      </c>
      <c r="L5" s="11"/>
      <c r="M5" s="11"/>
    </row>
    <row r="6" customFormat="false" ht="14.25" hidden="false" customHeight="false" outlineLevel="0" collapsed="false">
      <c r="B6" s="29"/>
      <c r="C6" s="29" t="s">
        <v>85</v>
      </c>
      <c r="D6" s="29"/>
      <c r="E6" s="29"/>
      <c r="F6" s="33" t="s">
        <v>106</v>
      </c>
      <c r="G6" s="32"/>
      <c r="H6" s="13"/>
      <c r="I6" s="11"/>
      <c r="J6" s="11"/>
      <c r="K6" s="11"/>
      <c r="L6" s="11" t="n">
        <f aca="false">K7</f>
        <v>300</v>
      </c>
      <c r="M6" s="11"/>
    </row>
    <row r="7" customFormat="false" ht="14.25" hidden="false" customHeight="false" outlineLevel="0" collapsed="false">
      <c r="B7" s="29"/>
      <c r="C7" s="29"/>
      <c r="D7" s="29" t="s">
        <v>81</v>
      </c>
      <c r="E7" s="29"/>
      <c r="F7" s="37" t="s">
        <v>7</v>
      </c>
      <c r="G7" s="32" t="n">
        <v>6</v>
      </c>
      <c r="H7" s="13" t="s">
        <v>84</v>
      </c>
      <c r="I7" s="11" t="n">
        <f aca="false">'Price per Hour'!C$5</f>
        <v>50</v>
      </c>
      <c r="J7" s="11"/>
      <c r="K7" s="11" t="n">
        <f aca="false">I7*G7</f>
        <v>300</v>
      </c>
      <c r="L7" s="11"/>
      <c r="M7" s="11"/>
    </row>
    <row r="8" customFormat="false" ht="14.25" hidden="false" customHeight="false" outlineLevel="0" collapsed="false">
      <c r="B8" s="29"/>
      <c r="C8" s="29" t="s">
        <v>90</v>
      </c>
      <c r="D8" s="29"/>
      <c r="E8" s="29"/>
      <c r="F8" s="33" t="s">
        <v>107</v>
      </c>
      <c r="G8" s="32"/>
      <c r="H8" s="13"/>
      <c r="I8" s="11"/>
      <c r="J8" s="11"/>
      <c r="K8" s="11"/>
      <c r="L8" s="11" t="n">
        <f aca="false">K9</f>
        <v>123.75</v>
      </c>
      <c r="M8" s="11"/>
    </row>
    <row r="9" customFormat="false" ht="14.25" hidden="false" customHeight="false" outlineLevel="0" collapsed="false">
      <c r="B9" s="29"/>
      <c r="C9" s="29"/>
      <c r="D9" s="29" t="s">
        <v>81</v>
      </c>
      <c r="E9" s="29"/>
      <c r="F9" s="37" t="s">
        <v>101</v>
      </c>
      <c r="G9" s="32" t="n">
        <v>3</v>
      </c>
      <c r="H9" s="13" t="s">
        <v>84</v>
      </c>
      <c r="I9" s="11" t="n">
        <f aca="false">'Price per Hour'!C$7</f>
        <v>41.25</v>
      </c>
      <c r="J9" s="11"/>
      <c r="K9" s="11" t="n">
        <f aca="false">I9*G9</f>
        <v>123.75</v>
      </c>
      <c r="L9" s="11"/>
      <c r="M9" s="11"/>
    </row>
    <row r="10" customFormat="false" ht="14.25" hidden="false" customHeight="false" outlineLevel="0" collapsed="false">
      <c r="B10" s="29"/>
      <c r="C10" s="29" t="s">
        <v>96</v>
      </c>
      <c r="D10" s="29"/>
      <c r="E10" s="29"/>
      <c r="F10" s="33" t="s">
        <v>108</v>
      </c>
      <c r="G10" s="32"/>
      <c r="H10" s="13"/>
      <c r="I10" s="11"/>
      <c r="J10" s="11"/>
      <c r="K10" s="11"/>
      <c r="L10" s="11" t="n">
        <f aca="false">K11</f>
        <v>420</v>
      </c>
      <c r="M10" s="11"/>
    </row>
    <row r="11" customFormat="false" ht="14.25" hidden="false" customHeight="false" outlineLevel="0" collapsed="false">
      <c r="B11" s="29"/>
      <c r="C11" s="29"/>
      <c r="D11" s="29" t="s">
        <v>81</v>
      </c>
      <c r="E11" s="29"/>
      <c r="F11" s="37" t="s">
        <v>6</v>
      </c>
      <c r="G11" s="32" t="n">
        <v>6</v>
      </c>
      <c r="H11" s="13" t="s">
        <v>84</v>
      </c>
      <c r="I11" s="11" t="n">
        <f aca="false">'Price per Hour'!C$4</f>
        <v>70</v>
      </c>
      <c r="J11" s="11"/>
      <c r="K11" s="11" t="n">
        <f aca="false">I11*G11</f>
        <v>420</v>
      </c>
      <c r="L11" s="11"/>
      <c r="M11" s="11"/>
    </row>
    <row r="12" customFormat="false" ht="14.25" hidden="false" customHeight="false" outlineLevel="0" collapsed="false">
      <c r="B12" s="29" t="s">
        <v>85</v>
      </c>
      <c r="C12" s="29"/>
      <c r="D12" s="29"/>
      <c r="E12" s="29"/>
      <c r="F12" s="39" t="s">
        <v>65</v>
      </c>
      <c r="G12" s="32"/>
      <c r="H12" s="13"/>
      <c r="I12" s="11"/>
      <c r="J12" s="11"/>
      <c r="K12" s="11"/>
      <c r="L12" s="11"/>
      <c r="M12" s="11" t="n">
        <f aca="false">L13+L16+L17</f>
        <v>2722.5</v>
      </c>
    </row>
    <row r="13" customFormat="false" ht="14.25" hidden="false" customHeight="false" outlineLevel="0" collapsed="false">
      <c r="B13" s="29"/>
      <c r="C13" s="29" t="s">
        <v>81</v>
      </c>
      <c r="D13" s="29"/>
      <c r="E13" s="29"/>
      <c r="F13" s="33" t="s">
        <v>109</v>
      </c>
      <c r="G13" s="32"/>
      <c r="H13" s="13"/>
      <c r="I13" s="11"/>
      <c r="J13" s="11"/>
      <c r="K13" s="11"/>
      <c r="L13" s="11" t="n">
        <f aca="false">K14</f>
        <v>247.5</v>
      </c>
      <c r="M13" s="11"/>
    </row>
    <row r="14" customFormat="false" ht="14.25" hidden="false" customHeight="false" outlineLevel="0" collapsed="false">
      <c r="B14" s="29"/>
      <c r="C14" s="29"/>
      <c r="D14" s="29" t="s">
        <v>81</v>
      </c>
      <c r="E14" s="29"/>
      <c r="F14" s="40" t="s">
        <v>100</v>
      </c>
      <c r="G14" s="32" t="n">
        <v>6</v>
      </c>
      <c r="H14" s="13" t="s">
        <v>84</v>
      </c>
      <c r="I14" s="11" t="n">
        <f aca="false">'Price per Hour'!C$6</f>
        <v>41.25</v>
      </c>
      <c r="J14" s="11"/>
      <c r="K14" s="11" t="n">
        <f aca="false">I14*G14</f>
        <v>247.5</v>
      </c>
      <c r="L14" s="11"/>
      <c r="M14" s="11"/>
    </row>
    <row r="15" customFormat="false" ht="14.25" hidden="false" customHeight="false" outlineLevel="0" collapsed="false">
      <c r="B15" s="29"/>
      <c r="C15" s="29" t="s">
        <v>85</v>
      </c>
      <c r="D15" s="29"/>
      <c r="E15" s="29"/>
      <c r="F15" s="33" t="s">
        <v>110</v>
      </c>
      <c r="G15" s="32"/>
      <c r="H15" s="13"/>
      <c r="I15" s="11"/>
      <c r="J15" s="11"/>
      <c r="K15" s="11"/>
      <c r="L15" s="11" t="n">
        <f aca="false">K16</f>
        <v>247.5</v>
      </c>
      <c r="M15" s="11"/>
    </row>
    <row r="16" customFormat="false" ht="14.25" hidden="false" customHeight="false" outlineLevel="0" collapsed="false">
      <c r="B16" s="29"/>
      <c r="C16" s="29"/>
      <c r="D16" s="29" t="s">
        <v>81</v>
      </c>
      <c r="E16" s="29"/>
      <c r="F16" s="40" t="s">
        <v>101</v>
      </c>
      <c r="G16" s="32" t="n">
        <v>6</v>
      </c>
      <c r="H16" s="13" t="s">
        <v>84</v>
      </c>
      <c r="I16" s="11" t="n">
        <f aca="false">'Price per Hour'!C$7</f>
        <v>41.25</v>
      </c>
      <c r="J16" s="11"/>
      <c r="K16" s="11" t="n">
        <f aca="false">I16*G16</f>
        <v>247.5</v>
      </c>
      <c r="L16" s="11"/>
      <c r="M16" s="11"/>
    </row>
    <row r="17" customFormat="false" ht="14.25" hidden="false" customHeight="false" outlineLevel="0" collapsed="false">
      <c r="B17" s="29"/>
      <c r="C17" s="29" t="s">
        <v>90</v>
      </c>
      <c r="D17" s="29"/>
      <c r="E17" s="29"/>
      <c r="F17" s="33" t="s">
        <v>111</v>
      </c>
      <c r="G17" s="32"/>
      <c r="H17" s="13"/>
      <c r="I17" s="11"/>
      <c r="J17" s="11"/>
      <c r="K17" s="11"/>
      <c r="L17" s="11" t="n">
        <f aca="false">K18+K19</f>
        <v>2475</v>
      </c>
      <c r="M17" s="11"/>
    </row>
    <row r="18" customFormat="false" ht="14.25" hidden="false" customHeight="false" outlineLevel="0" collapsed="false">
      <c r="B18" s="29"/>
      <c r="C18" s="29"/>
      <c r="D18" s="29" t="s">
        <v>81</v>
      </c>
      <c r="E18" s="29"/>
      <c r="F18" s="37" t="s">
        <v>100</v>
      </c>
      <c r="G18" s="32" t="n">
        <v>30</v>
      </c>
      <c r="H18" s="13" t="s">
        <v>84</v>
      </c>
      <c r="I18" s="11" t="n">
        <f aca="false">'Price per Hour'!C$6</f>
        <v>41.25</v>
      </c>
      <c r="J18" s="11"/>
      <c r="K18" s="11" t="n">
        <f aca="false">I18*G18</f>
        <v>1237.5</v>
      </c>
      <c r="L18" s="11"/>
      <c r="M18" s="11"/>
    </row>
    <row r="19" customFormat="false" ht="14.25" hidden="false" customHeight="false" outlineLevel="0" collapsed="false">
      <c r="B19" s="29"/>
      <c r="C19" s="29"/>
      <c r="D19" s="29" t="s">
        <v>85</v>
      </c>
      <c r="E19" s="29"/>
      <c r="F19" s="37" t="s">
        <v>101</v>
      </c>
      <c r="G19" s="32" t="n">
        <v>30</v>
      </c>
      <c r="H19" s="13" t="s">
        <v>84</v>
      </c>
      <c r="I19" s="11" t="n">
        <f aca="false">'Price per Hour'!C$7</f>
        <v>41.25</v>
      </c>
      <c r="J19" s="11"/>
      <c r="K19" s="11" t="n">
        <f aca="false">I19*G19</f>
        <v>1237.5</v>
      </c>
      <c r="L19" s="11"/>
      <c r="M19" s="11"/>
    </row>
    <row r="20" customFormat="false" ht="15" hidden="false" customHeight="false" outlineLevel="0" collapsed="false">
      <c r="B20" s="29" t="s">
        <v>90</v>
      </c>
      <c r="C20" s="29"/>
      <c r="D20" s="29"/>
      <c r="E20" s="29"/>
      <c r="F20" s="41" t="s">
        <v>66</v>
      </c>
      <c r="G20" s="32"/>
      <c r="H20" s="13"/>
      <c r="I20" s="11"/>
      <c r="J20" s="11"/>
      <c r="K20" s="11"/>
      <c r="L20" s="11"/>
      <c r="M20" s="11" t="n">
        <f aca="false">L21+L28+L30+L32+L34</f>
        <v>7922.5</v>
      </c>
    </row>
    <row r="21" customFormat="false" ht="14.25" hidden="false" customHeight="false" outlineLevel="0" collapsed="false">
      <c r="B21" s="29"/>
      <c r="C21" s="29" t="s">
        <v>81</v>
      </c>
      <c r="D21" s="29"/>
      <c r="E21" s="29"/>
      <c r="F21" s="33" t="s">
        <v>112</v>
      </c>
      <c r="G21" s="32"/>
      <c r="H21" s="13"/>
      <c r="I21" s="11"/>
      <c r="J21" s="11"/>
      <c r="L21" s="11" t="n">
        <f aca="false">K22+K24+K26</f>
        <v>2190</v>
      </c>
      <c r="M21" s="11"/>
    </row>
    <row r="22" customFormat="false" ht="14.25" hidden="false" customHeight="false" outlineLevel="0" collapsed="false">
      <c r="B22" s="29"/>
      <c r="C22" s="29"/>
      <c r="D22" s="29" t="s">
        <v>81</v>
      </c>
      <c r="E22" s="29"/>
      <c r="F22" s="34" t="s">
        <v>113</v>
      </c>
      <c r="G22" s="32"/>
      <c r="H22" s="13"/>
      <c r="I22" s="11"/>
      <c r="J22" s="11"/>
      <c r="K22" s="11" t="n">
        <f aca="false">J23</f>
        <v>990</v>
      </c>
      <c r="L22" s="11"/>
      <c r="M22" s="11"/>
    </row>
    <row r="23" customFormat="false" ht="14.25" hidden="false" customHeight="false" outlineLevel="0" collapsed="false">
      <c r="B23" s="29"/>
      <c r="C23" s="29"/>
      <c r="D23" s="29"/>
      <c r="E23" s="29" t="s">
        <v>81</v>
      </c>
      <c r="F23" s="35" t="s">
        <v>100</v>
      </c>
      <c r="G23" s="32" t="n">
        <v>24</v>
      </c>
      <c r="H23" s="13" t="s">
        <v>84</v>
      </c>
      <c r="I23" s="11" t="n">
        <f aca="false">'Price per Hour'!C$6</f>
        <v>41.25</v>
      </c>
      <c r="J23" s="11" t="n">
        <f aca="false">I23*G23</f>
        <v>990</v>
      </c>
      <c r="K23" s="11"/>
      <c r="L23" s="11"/>
      <c r="M23" s="11"/>
    </row>
    <row r="24" customFormat="false" ht="14.25" hidden="false" customHeight="false" outlineLevel="0" collapsed="false">
      <c r="B24" s="29"/>
      <c r="C24" s="29"/>
      <c r="D24" s="29" t="s">
        <v>85</v>
      </c>
      <c r="E24" s="29"/>
      <c r="F24" s="34" t="s">
        <v>114</v>
      </c>
      <c r="G24" s="32"/>
      <c r="H24" s="13"/>
      <c r="I24" s="11"/>
      <c r="J24" s="11"/>
      <c r="K24" s="11" t="n">
        <f aca="false">J25</f>
        <v>300</v>
      </c>
      <c r="L24" s="11"/>
      <c r="M24" s="11"/>
    </row>
    <row r="25" customFormat="false" ht="14.25" hidden="false" customHeight="false" outlineLevel="0" collapsed="false">
      <c r="B25" s="29"/>
      <c r="C25" s="29"/>
      <c r="D25" s="29"/>
      <c r="E25" s="29" t="s">
        <v>81</v>
      </c>
      <c r="F25" s="35" t="s">
        <v>7</v>
      </c>
      <c r="G25" s="32" t="n">
        <v>6</v>
      </c>
      <c r="H25" s="13" t="s">
        <v>84</v>
      </c>
      <c r="I25" s="11" t="n">
        <f aca="false">'Price per Hour'!C$5</f>
        <v>50</v>
      </c>
      <c r="J25" s="11" t="n">
        <f aca="false">I25*G25</f>
        <v>300</v>
      </c>
      <c r="K25" s="11"/>
      <c r="L25" s="11"/>
      <c r="M25" s="11"/>
    </row>
    <row r="26" customFormat="false" ht="14.25" hidden="false" customHeight="false" outlineLevel="0" collapsed="false">
      <c r="B26" s="29"/>
      <c r="C26" s="29"/>
      <c r="D26" s="29" t="s">
        <v>90</v>
      </c>
      <c r="E26" s="29"/>
      <c r="F26" s="34" t="s">
        <v>115</v>
      </c>
      <c r="G26" s="32"/>
      <c r="H26" s="13"/>
      <c r="I26" s="11"/>
      <c r="J26" s="11"/>
      <c r="K26" s="11" t="n">
        <f aca="false">J27</f>
        <v>900</v>
      </c>
      <c r="L26" s="11"/>
      <c r="M26" s="11"/>
    </row>
    <row r="27" customFormat="false" ht="14.25" hidden="false" customHeight="false" outlineLevel="0" collapsed="false">
      <c r="B27" s="29"/>
      <c r="C27" s="29"/>
      <c r="D27" s="29"/>
      <c r="E27" s="29" t="s">
        <v>81</v>
      </c>
      <c r="F27" s="35" t="s">
        <v>7</v>
      </c>
      <c r="G27" s="32" t="n">
        <v>18</v>
      </c>
      <c r="H27" s="13" t="s">
        <v>84</v>
      </c>
      <c r="I27" s="11" t="n">
        <f aca="false">'Price per Hour'!C$5</f>
        <v>50</v>
      </c>
      <c r="J27" s="11" t="n">
        <f aca="false">I27*G27</f>
        <v>900</v>
      </c>
      <c r="K27" s="11"/>
      <c r="L27" s="11"/>
      <c r="M27" s="11"/>
    </row>
    <row r="28" customFormat="false" ht="14.25" hidden="false" customHeight="false" outlineLevel="0" collapsed="false">
      <c r="B28" s="29"/>
      <c r="C28" s="29" t="s">
        <v>85</v>
      </c>
      <c r="D28" s="29"/>
      <c r="E28" s="29"/>
      <c r="F28" s="33" t="s">
        <v>116</v>
      </c>
      <c r="G28" s="32"/>
      <c r="H28" s="13"/>
      <c r="I28" s="11"/>
      <c r="J28" s="11"/>
      <c r="K28" s="11"/>
      <c r="L28" s="11" t="n">
        <f aca="false">K29</f>
        <v>1800</v>
      </c>
      <c r="M28" s="11"/>
    </row>
    <row r="29" customFormat="false" ht="14.25" hidden="false" customHeight="false" outlineLevel="0" collapsed="false">
      <c r="B29" s="29"/>
      <c r="C29" s="29"/>
      <c r="D29" s="29" t="s">
        <v>81</v>
      </c>
      <c r="E29" s="29"/>
      <c r="F29" s="37" t="s">
        <v>7</v>
      </c>
      <c r="G29" s="32" t="n">
        <v>36</v>
      </c>
      <c r="H29" s="13" t="s">
        <v>84</v>
      </c>
      <c r="I29" s="11" t="n">
        <f aca="false">'Price per Hour'!C$5</f>
        <v>50</v>
      </c>
      <c r="J29" s="11"/>
      <c r="K29" s="11" t="n">
        <f aca="false">G29*I29</f>
        <v>1800</v>
      </c>
      <c r="L29" s="11"/>
      <c r="M29" s="11"/>
    </row>
    <row r="30" customFormat="false" ht="14.25" hidden="false" customHeight="false" outlineLevel="0" collapsed="false">
      <c r="B30" s="29"/>
      <c r="C30" s="29" t="s">
        <v>90</v>
      </c>
      <c r="D30" s="29"/>
      <c r="E30" s="29"/>
      <c r="F30" s="33" t="s">
        <v>117</v>
      </c>
      <c r="G30" s="32"/>
      <c r="H30" s="13"/>
      <c r="I30" s="11"/>
      <c r="J30" s="11"/>
      <c r="K30" s="11"/>
      <c r="L30" s="11" t="n">
        <f aca="false">K31</f>
        <v>1680</v>
      </c>
      <c r="M30" s="11"/>
    </row>
    <row r="31" customFormat="false" ht="14.25" hidden="false" customHeight="false" outlineLevel="0" collapsed="false">
      <c r="B31" s="29"/>
      <c r="C31" s="29"/>
      <c r="D31" s="29" t="s">
        <v>81</v>
      </c>
      <c r="E31" s="29"/>
      <c r="F31" s="37" t="s">
        <v>6</v>
      </c>
      <c r="G31" s="32" t="n">
        <v>24</v>
      </c>
      <c r="H31" s="13" t="s">
        <v>84</v>
      </c>
      <c r="I31" s="11" t="n">
        <f aca="false">'Price per Hour'!C$4</f>
        <v>70</v>
      </c>
      <c r="J31" s="11"/>
      <c r="K31" s="11" t="n">
        <f aca="false">G31*I31</f>
        <v>1680</v>
      </c>
      <c r="L31" s="11"/>
      <c r="M31" s="11"/>
    </row>
    <row r="32" customFormat="false" ht="14.25" hidden="false" customHeight="false" outlineLevel="0" collapsed="false">
      <c r="B32" s="29"/>
      <c r="C32" s="29" t="s">
        <v>96</v>
      </c>
      <c r="D32" s="29"/>
      <c r="E32" s="29"/>
      <c r="F32" s="33" t="s">
        <v>118</v>
      </c>
      <c r="G32" s="32"/>
      <c r="H32" s="13"/>
      <c r="I32" s="11"/>
      <c r="J32" s="11"/>
      <c r="K32" s="11"/>
      <c r="L32" s="11" t="n">
        <f aca="false">K33</f>
        <v>2100</v>
      </c>
      <c r="M32" s="11"/>
    </row>
    <row r="33" customFormat="false" ht="14.25" hidden="false" customHeight="false" outlineLevel="0" collapsed="false">
      <c r="B33" s="29"/>
      <c r="C33" s="29"/>
      <c r="D33" s="29" t="s">
        <v>81</v>
      </c>
      <c r="E33" s="29"/>
      <c r="F33" s="37" t="s">
        <v>6</v>
      </c>
      <c r="G33" s="32" t="n">
        <v>30</v>
      </c>
      <c r="H33" s="13" t="s">
        <v>84</v>
      </c>
      <c r="I33" s="11" t="n">
        <f aca="false">'Price per Hour'!C$4</f>
        <v>70</v>
      </c>
      <c r="J33" s="11"/>
      <c r="K33" s="11" t="n">
        <f aca="false">G33*I33</f>
        <v>2100</v>
      </c>
      <c r="L33" s="11"/>
      <c r="M33" s="11"/>
    </row>
    <row r="34" customFormat="false" ht="14.25" hidden="false" customHeight="false" outlineLevel="0" collapsed="false">
      <c r="B34" s="29"/>
      <c r="C34" s="29" t="s">
        <v>119</v>
      </c>
      <c r="D34" s="29"/>
      <c r="E34" s="29"/>
      <c r="F34" s="33" t="s">
        <v>120</v>
      </c>
      <c r="G34" s="32"/>
      <c r="H34" s="13"/>
      <c r="I34" s="11"/>
      <c r="J34" s="11"/>
      <c r="K34" s="11"/>
      <c r="L34" s="11" t="n">
        <f aca="false">K35+K36+K37</f>
        <v>152.5</v>
      </c>
      <c r="M34" s="11"/>
    </row>
    <row r="35" customFormat="false" ht="14.25" hidden="false" customHeight="false" outlineLevel="0" collapsed="false">
      <c r="B35" s="29"/>
      <c r="C35" s="29"/>
      <c r="D35" s="29" t="s">
        <v>81</v>
      </c>
      <c r="E35" s="29"/>
      <c r="F35" s="37" t="s">
        <v>100</v>
      </c>
      <c r="G35" s="32" t="n">
        <v>1</v>
      </c>
      <c r="H35" s="13" t="s">
        <v>84</v>
      </c>
      <c r="I35" s="11" t="n">
        <f aca="false">'Price per Hour'!C$6</f>
        <v>41.25</v>
      </c>
      <c r="J35" s="11"/>
      <c r="K35" s="11" t="n">
        <f aca="false">G35*I35</f>
        <v>41.25</v>
      </c>
      <c r="L35" s="11"/>
      <c r="M35" s="11"/>
    </row>
    <row r="36" customFormat="false" ht="14.25" hidden="false" customHeight="false" outlineLevel="0" collapsed="false">
      <c r="B36" s="29"/>
      <c r="C36" s="29"/>
      <c r="D36" s="29" t="s">
        <v>85</v>
      </c>
      <c r="E36" s="29"/>
      <c r="F36" s="37" t="s">
        <v>101</v>
      </c>
      <c r="G36" s="32" t="n">
        <v>1</v>
      </c>
      <c r="H36" s="13" t="s">
        <v>84</v>
      </c>
      <c r="I36" s="11" t="n">
        <f aca="false">'Price per Hour'!C$7</f>
        <v>41.25</v>
      </c>
      <c r="J36" s="11"/>
      <c r="K36" s="11" t="n">
        <f aca="false">G36*I36</f>
        <v>41.25</v>
      </c>
      <c r="L36" s="11"/>
      <c r="M36" s="11"/>
    </row>
    <row r="37" customFormat="false" ht="14.25" hidden="false" customHeight="false" outlineLevel="0" collapsed="false">
      <c r="B37" s="29"/>
      <c r="C37" s="29"/>
      <c r="D37" s="29" t="s">
        <v>90</v>
      </c>
      <c r="E37" s="29"/>
      <c r="F37" s="37" t="s">
        <v>6</v>
      </c>
      <c r="G37" s="32" t="n">
        <v>1</v>
      </c>
      <c r="H37" s="13" t="s">
        <v>84</v>
      </c>
      <c r="I37" s="11" t="n">
        <f aca="false">'Price per Hour'!C$4</f>
        <v>70</v>
      </c>
      <c r="J37" s="11"/>
      <c r="K37" s="11" t="n">
        <f aca="false">G37*I37</f>
        <v>70</v>
      </c>
      <c r="L37" s="11"/>
      <c r="M37" s="11"/>
    </row>
    <row r="39" customFormat="false" ht="14.25" hidden="false" customHeight="false" outlineLevel="0" collapsed="false">
      <c r="B39" s="38" t="s">
        <v>4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11" t="n">
        <f aca="false">SUM(M3:M37)</f>
        <v>13588.75</v>
      </c>
    </row>
  </sheetData>
  <mergeCells count="1">
    <mergeCell ref="B39:L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6ECC"/>
    <pageSetUpPr fitToPage="false"/>
  </sheetPr>
  <dimension ref="B2:K21"/>
  <sheetViews>
    <sheetView showFormulas="false" showGridLines="true" showRowColHeaders="true" showZeros="true" rightToLeft="false" tabSelected="false" showOutlineSymbols="true" defaultGridColor="true" view="normal" topLeftCell="B4" colorId="64" zoomScale="100" zoomScaleNormal="100" zoomScalePageLayoutView="100" workbookViewId="0">
      <selection pane="topLeft" activeCell="K21" activeCellId="0" sqref="K2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5" min="5" style="1" width="32.29"/>
    <col collapsed="false" customWidth="true" hidden="false" outlineLevel="0" max="6" min="6" style="1" width="8.43"/>
    <col collapsed="false" customWidth="true" hidden="false" outlineLevel="0" max="9" min="9" style="1" width="11.15"/>
    <col collapsed="false" customWidth="true" hidden="false" outlineLevel="0" max="11" min="10" style="1" width="11"/>
  </cols>
  <sheetData>
    <row r="2" customFormat="false" ht="15" hidden="false" customHeight="false" outlineLevel="0" collapsed="false">
      <c r="B2" s="29" t="s">
        <v>72</v>
      </c>
      <c r="C2" s="29" t="s">
        <v>73</v>
      </c>
      <c r="D2" s="29" t="s">
        <v>74</v>
      </c>
      <c r="E2" s="8" t="s">
        <v>76</v>
      </c>
      <c r="F2" s="8" t="s">
        <v>77</v>
      </c>
      <c r="G2" s="8" t="s">
        <v>25</v>
      </c>
      <c r="H2" s="8" t="s">
        <v>26</v>
      </c>
      <c r="I2" s="8" t="s">
        <v>79</v>
      </c>
      <c r="J2" s="8" t="s">
        <v>80</v>
      </c>
      <c r="K2" s="8" t="s">
        <v>23</v>
      </c>
    </row>
    <row r="3" customFormat="false" ht="15" hidden="false" customHeight="false" outlineLevel="0" collapsed="false">
      <c r="B3" s="30" t="s">
        <v>81</v>
      </c>
      <c r="C3" s="29"/>
      <c r="D3" s="29"/>
      <c r="E3" s="31" t="s">
        <v>121</v>
      </c>
      <c r="F3" s="32"/>
      <c r="G3" s="13"/>
      <c r="H3" s="11"/>
      <c r="I3" s="11"/>
      <c r="J3" s="11"/>
      <c r="K3" s="11" t="n">
        <f aca="false">J4+J6+J8+J10+J12+J14+J16+J18</f>
        <v>3041.25</v>
      </c>
    </row>
    <row r="4" customFormat="false" ht="15" hidden="false" customHeight="false" outlineLevel="0" collapsed="false">
      <c r="B4" s="29"/>
      <c r="C4" s="29" t="s">
        <v>81</v>
      </c>
      <c r="D4" s="29"/>
      <c r="E4" s="33" t="s">
        <v>122</v>
      </c>
      <c r="F4" s="32"/>
      <c r="G4" s="13"/>
      <c r="H4" s="11"/>
      <c r="I4" s="11"/>
      <c r="J4" s="11" t="n">
        <f aca="false">I5</f>
        <v>123.75</v>
      </c>
      <c r="K4" s="11"/>
    </row>
    <row r="5" customFormat="false" ht="15" hidden="false" customHeight="false" outlineLevel="0" collapsed="false">
      <c r="B5" s="29"/>
      <c r="C5" s="29"/>
      <c r="D5" s="29" t="s">
        <v>81</v>
      </c>
      <c r="E5" s="37" t="s">
        <v>100</v>
      </c>
      <c r="F5" s="32" t="n">
        <v>3</v>
      </c>
      <c r="G5" s="13" t="s">
        <v>84</v>
      </c>
      <c r="H5" s="11" t="n">
        <f aca="false">'Price per Hour'!C$6</f>
        <v>41.25</v>
      </c>
      <c r="I5" s="11" t="n">
        <f aca="false">H5*F5</f>
        <v>123.75</v>
      </c>
      <c r="J5" s="11"/>
      <c r="K5" s="11"/>
    </row>
    <row r="6" customFormat="false" ht="15" hidden="false" customHeight="false" outlineLevel="0" collapsed="false">
      <c r="B6" s="29"/>
      <c r="C6" s="29" t="s">
        <v>85</v>
      </c>
      <c r="D6" s="29"/>
      <c r="E6" s="33" t="s">
        <v>123</v>
      </c>
      <c r="F6" s="32"/>
      <c r="G6" s="13"/>
      <c r="H6" s="11"/>
      <c r="I6" s="11"/>
      <c r="J6" s="11" t="n">
        <f aca="false">I7</f>
        <v>123.75</v>
      </c>
      <c r="K6" s="11"/>
    </row>
    <row r="7" customFormat="false" ht="15" hidden="false" customHeight="false" outlineLevel="0" collapsed="false">
      <c r="B7" s="29"/>
      <c r="C7" s="29"/>
      <c r="D7" s="29" t="s">
        <v>81</v>
      </c>
      <c r="E7" s="37" t="s">
        <v>101</v>
      </c>
      <c r="F7" s="32" t="n">
        <v>3</v>
      </c>
      <c r="G7" s="13" t="s">
        <v>84</v>
      </c>
      <c r="H7" s="11" t="n">
        <f aca="false">'Price per Hour'!C$7</f>
        <v>41.25</v>
      </c>
      <c r="I7" s="11" t="n">
        <f aca="false">H7*F7</f>
        <v>123.75</v>
      </c>
      <c r="J7" s="11"/>
      <c r="K7" s="11"/>
    </row>
    <row r="8" customFormat="false" ht="15" hidden="false" customHeight="false" outlineLevel="0" collapsed="false">
      <c r="B8" s="29"/>
      <c r="C8" s="29" t="s">
        <v>90</v>
      </c>
      <c r="D8" s="29"/>
      <c r="E8" s="33" t="s">
        <v>124</v>
      </c>
      <c r="F8" s="32"/>
      <c r="G8" s="13"/>
      <c r="H8" s="11"/>
      <c r="I8" s="11"/>
      <c r="J8" s="11" t="n">
        <f aca="false">I9</f>
        <v>123.75</v>
      </c>
      <c r="K8" s="11"/>
    </row>
    <row r="9" customFormat="false" ht="15" hidden="false" customHeight="false" outlineLevel="0" collapsed="false">
      <c r="B9" s="29"/>
      <c r="C9" s="29"/>
      <c r="D9" s="29" t="s">
        <v>81</v>
      </c>
      <c r="E9" s="37" t="s">
        <v>100</v>
      </c>
      <c r="F9" s="32" t="n">
        <v>3</v>
      </c>
      <c r="G9" s="13" t="s">
        <v>84</v>
      </c>
      <c r="H9" s="11" t="n">
        <f aca="false">'Price per Hour'!C$6</f>
        <v>41.25</v>
      </c>
      <c r="I9" s="11" t="n">
        <f aca="false">H9*F9</f>
        <v>123.75</v>
      </c>
      <c r="J9" s="11"/>
      <c r="K9" s="11"/>
    </row>
    <row r="10" customFormat="false" ht="15" hidden="false" customHeight="false" outlineLevel="0" collapsed="false">
      <c r="B10" s="29"/>
      <c r="C10" s="29" t="s">
        <v>96</v>
      </c>
      <c r="D10" s="29"/>
      <c r="E10" s="33" t="s">
        <v>125</v>
      </c>
      <c r="F10" s="32"/>
      <c r="G10" s="13"/>
      <c r="H10" s="11"/>
      <c r="I10" s="11"/>
      <c r="J10" s="11" t="n">
        <f aca="false">I11</f>
        <v>247.5</v>
      </c>
      <c r="K10" s="11"/>
    </row>
    <row r="11" customFormat="false" ht="15" hidden="false" customHeight="false" outlineLevel="0" collapsed="false">
      <c r="B11" s="29"/>
      <c r="C11" s="29"/>
      <c r="D11" s="29" t="s">
        <v>81</v>
      </c>
      <c r="E11" s="37" t="s">
        <v>101</v>
      </c>
      <c r="F11" s="32" t="n">
        <v>6</v>
      </c>
      <c r="G11" s="13" t="s">
        <v>84</v>
      </c>
      <c r="H11" s="11" t="n">
        <f aca="false">'Price per Hour'!C$7</f>
        <v>41.25</v>
      </c>
      <c r="I11" s="11" t="n">
        <f aca="false">H11*F11</f>
        <v>247.5</v>
      </c>
      <c r="J11" s="11"/>
      <c r="K11" s="11"/>
    </row>
    <row r="12" customFormat="false" ht="15" hidden="false" customHeight="false" outlineLevel="0" collapsed="false">
      <c r="B12" s="29"/>
      <c r="C12" s="29" t="s">
        <v>119</v>
      </c>
      <c r="D12" s="29"/>
      <c r="E12" s="42" t="s">
        <v>126</v>
      </c>
      <c r="F12" s="32"/>
      <c r="G12" s="13"/>
      <c r="H12" s="11"/>
      <c r="I12" s="11"/>
      <c r="J12" s="11" t="n">
        <f aca="false">I13</f>
        <v>495</v>
      </c>
      <c r="K12" s="11"/>
    </row>
    <row r="13" customFormat="false" ht="15" hidden="false" customHeight="false" outlineLevel="0" collapsed="false">
      <c r="B13" s="29"/>
      <c r="C13" s="29"/>
      <c r="D13" s="29" t="s">
        <v>81</v>
      </c>
      <c r="E13" s="37" t="s">
        <v>100</v>
      </c>
      <c r="F13" s="32" t="n">
        <v>12</v>
      </c>
      <c r="G13" s="13" t="s">
        <v>84</v>
      </c>
      <c r="H13" s="11" t="n">
        <f aca="false">'Price per Hour'!C$6</f>
        <v>41.25</v>
      </c>
      <c r="I13" s="11" t="n">
        <f aca="false">H13*F13</f>
        <v>495</v>
      </c>
      <c r="J13" s="11"/>
      <c r="K13" s="11"/>
    </row>
    <row r="14" customFormat="false" ht="15" hidden="false" customHeight="false" outlineLevel="0" collapsed="false">
      <c r="B14" s="29"/>
      <c r="C14" s="29" t="s">
        <v>127</v>
      </c>
      <c r="D14" s="29"/>
      <c r="E14" s="42" t="s">
        <v>128</v>
      </c>
      <c r="F14" s="32"/>
      <c r="G14" s="13"/>
      <c r="H14" s="11"/>
      <c r="I14" s="11"/>
      <c r="J14" s="11" t="n">
        <f aca="false">I15</f>
        <v>247.5</v>
      </c>
      <c r="K14" s="11"/>
    </row>
    <row r="15" customFormat="false" ht="15" hidden="false" customHeight="false" outlineLevel="0" collapsed="false">
      <c r="B15" s="29"/>
      <c r="C15" s="29"/>
      <c r="D15" s="29" t="s">
        <v>81</v>
      </c>
      <c r="E15" s="37" t="s">
        <v>101</v>
      </c>
      <c r="F15" s="32" t="n">
        <v>6</v>
      </c>
      <c r="G15" s="13" t="s">
        <v>84</v>
      </c>
      <c r="H15" s="11" t="n">
        <f aca="false">'Price per Hour'!C$7</f>
        <v>41.25</v>
      </c>
      <c r="I15" s="11" t="n">
        <f aca="false">H15*F15</f>
        <v>247.5</v>
      </c>
      <c r="J15" s="11"/>
      <c r="K15" s="11"/>
    </row>
    <row r="16" customFormat="false" ht="15" hidden="false" customHeight="false" outlineLevel="0" collapsed="false">
      <c r="B16" s="29"/>
      <c r="C16" s="29" t="s">
        <v>129</v>
      </c>
      <c r="D16" s="29"/>
      <c r="E16" s="42" t="s">
        <v>130</v>
      </c>
      <c r="F16" s="32"/>
      <c r="G16" s="13"/>
      <c r="H16" s="11"/>
      <c r="I16" s="11"/>
      <c r="J16" s="11" t="n">
        <f aca="false">I17</f>
        <v>420</v>
      </c>
      <c r="K16" s="11"/>
    </row>
    <row r="17" customFormat="false" ht="15" hidden="false" customHeight="false" outlineLevel="0" collapsed="false">
      <c r="B17" s="29"/>
      <c r="C17" s="29"/>
      <c r="D17" s="29" t="s">
        <v>81</v>
      </c>
      <c r="E17" s="37" t="s">
        <v>6</v>
      </c>
      <c r="F17" s="32" t="n">
        <v>6</v>
      </c>
      <c r="G17" s="13" t="s">
        <v>84</v>
      </c>
      <c r="H17" s="11" t="n">
        <f aca="false">'Price per Hour'!C$4</f>
        <v>70</v>
      </c>
      <c r="I17" s="11" t="n">
        <f aca="false">H17*F17</f>
        <v>420</v>
      </c>
      <c r="J17" s="11"/>
      <c r="K17" s="11"/>
    </row>
    <row r="18" customFormat="false" ht="15" hidden="false" customHeight="false" outlineLevel="0" collapsed="false">
      <c r="B18" s="29"/>
      <c r="C18" s="29" t="s">
        <v>131</v>
      </c>
      <c r="D18" s="29"/>
      <c r="E18" s="33" t="s">
        <v>132</v>
      </c>
      <c r="F18" s="32"/>
      <c r="G18" s="13"/>
      <c r="H18" s="11"/>
      <c r="I18" s="11"/>
      <c r="J18" s="11" t="n">
        <f aca="false">I19</f>
        <v>1260</v>
      </c>
      <c r="K18" s="11"/>
    </row>
    <row r="19" customFormat="false" ht="15" hidden="false" customHeight="false" outlineLevel="0" collapsed="false">
      <c r="B19" s="29"/>
      <c r="C19" s="29"/>
      <c r="D19" s="29" t="s">
        <v>85</v>
      </c>
      <c r="E19" s="37" t="s">
        <v>6</v>
      </c>
      <c r="F19" s="32" t="n">
        <v>18</v>
      </c>
      <c r="G19" s="13" t="s">
        <v>84</v>
      </c>
      <c r="H19" s="11" t="n">
        <f aca="false">'Price per Hour'!C$4</f>
        <v>70</v>
      </c>
      <c r="I19" s="11" t="n">
        <f aca="false">H19*F19</f>
        <v>1260</v>
      </c>
      <c r="J19" s="11"/>
      <c r="K19" s="11"/>
    </row>
    <row r="21" customFormat="false" ht="15" hidden="false" customHeight="false" outlineLevel="0" collapsed="false">
      <c r="B21" s="38" t="s">
        <v>4</v>
      </c>
      <c r="C21" s="38"/>
      <c r="D21" s="38"/>
      <c r="E21" s="38"/>
      <c r="F21" s="38"/>
      <c r="G21" s="38"/>
      <c r="H21" s="38"/>
      <c r="I21" s="38"/>
      <c r="J21" s="38"/>
      <c r="K21" s="11" t="n">
        <f aca="false">SUM(K3:K19)</f>
        <v>3041.25</v>
      </c>
    </row>
  </sheetData>
  <mergeCells count="1">
    <mergeCell ref="B21:J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2026-01-19T16:48:51Z</dcterms:created>
  <dc:creator>Andrés Cadenas Blanco</dc:creator>
  <dc:description/>
  <dc:language>en-US</dc:language>
  <cp:lastModifiedBy/>
  <dcterms:modified xsi:type="dcterms:W3CDTF">2026-04-09T13:43:41Z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