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rab\Documents\Universidad\TFG\TFG\project\"/>
    </mc:Choice>
  </mc:AlternateContent>
  <xr:revisionPtr revIDLastSave="0" documentId="13_ncr:1_{0031CB8B-2E56-45B0-B911-703AE9854424}" xr6:coauthVersionLast="47" xr6:coauthVersionMax="47" xr10:uidLastSave="{00000000-0000-0000-0000-000000000000}"/>
  <bookViews>
    <workbookView xWindow="-120" yWindow="-120" windowWidth="29040" windowHeight="15720" firstSheet="2" activeTab="2" xr2:uid="{2676DFF3-B4B2-4AF0-AC23-79A5559333B5}"/>
  </bookViews>
  <sheets>
    <sheet name="Staff" sheetId="3" r:id="rId1"/>
    <sheet name="Staff Productivity" sheetId="4" r:id="rId2"/>
    <sheet name="Indirect Costs" sheetId="1" r:id="rId3"/>
    <sheet name="Production Costs" sheetId="5" r:id="rId4"/>
    <sheet name="Billing Needs" sheetId="7" r:id="rId5"/>
    <sheet name="Schedule" sheetId="2" r:id="rId6"/>
    <sheet name="Price per Hour" sheetId="8" r:id="rId7"/>
    <sheet name="Summary" sheetId="9" r:id="rId8"/>
    <sheet name="Budget" sheetId="10" r:id="rId9"/>
    <sheet name="Client" sheetId="11" r:id="rId10"/>
    <sheet name="Part 1" sheetId="12" r:id="rId11"/>
    <sheet name="Part 2" sheetId="13" r:id="rId12"/>
    <sheet name="Part 3" sheetId="14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1" l="1"/>
  <c r="E4" i="11"/>
  <c r="E5" i="11"/>
  <c r="E6" i="11"/>
  <c r="E7" i="11"/>
  <c r="E3" i="11"/>
  <c r="E11" i="10"/>
  <c r="F11" i="10"/>
  <c r="E15" i="10"/>
  <c r="E14" i="10"/>
  <c r="E13" i="10"/>
  <c r="E12" i="10"/>
  <c r="E10" i="10"/>
  <c r="K3" i="14"/>
  <c r="J6" i="14"/>
  <c r="J8" i="14"/>
  <c r="J10" i="14"/>
  <c r="J12" i="14"/>
  <c r="J14" i="14"/>
  <c r="J16" i="14"/>
  <c r="J18" i="14"/>
  <c r="J4" i="14"/>
  <c r="I7" i="14"/>
  <c r="I9" i="14"/>
  <c r="I11" i="14"/>
  <c r="I13" i="14"/>
  <c r="I15" i="14"/>
  <c r="I17" i="14"/>
  <c r="I19" i="14"/>
  <c r="H19" i="14"/>
  <c r="H17" i="14"/>
  <c r="H13" i="14"/>
  <c r="H9" i="14"/>
  <c r="H15" i="14"/>
  <c r="H11" i="14"/>
  <c r="E8" i="10"/>
  <c r="E9" i="10"/>
  <c r="M39" i="13"/>
  <c r="M12" i="13"/>
  <c r="M3" i="13"/>
  <c r="H5" i="14"/>
  <c r="H7" i="14"/>
  <c r="I25" i="12"/>
  <c r="J25" i="12" s="1"/>
  <c r="K24" i="12" s="1"/>
  <c r="I23" i="12"/>
  <c r="J23" i="12" s="1"/>
  <c r="K22" i="12" s="1"/>
  <c r="I21" i="12"/>
  <c r="J21" i="12" s="1"/>
  <c r="K20" i="12" s="1"/>
  <c r="I19" i="12"/>
  <c r="J19" i="12" s="1"/>
  <c r="K18" i="12" s="1"/>
  <c r="I8" i="12"/>
  <c r="J8" i="12" s="1"/>
  <c r="I6" i="12"/>
  <c r="J6" i="12" s="1"/>
  <c r="K5" i="12" s="1"/>
  <c r="L4" i="12" s="1"/>
  <c r="L17" i="12" l="1"/>
  <c r="C7" i="2" l="1"/>
  <c r="E7" i="2" s="1"/>
  <c r="F7" i="2" s="1"/>
  <c r="E7" i="8" s="1"/>
  <c r="B7" i="2"/>
  <c r="B7" i="8"/>
  <c r="E7" i="3"/>
  <c r="F7" i="4"/>
  <c r="C7" i="4"/>
  <c r="G7" i="4" s="1"/>
  <c r="G8" i="4" s="1"/>
  <c r="B7" i="4"/>
  <c r="E6" i="3"/>
  <c r="D6" i="3"/>
  <c r="B7" i="3"/>
  <c r="E7" i="4" l="1"/>
  <c r="E8" i="4" s="1"/>
  <c r="F8" i="2"/>
  <c r="D13" i="8"/>
  <c r="C3" i="8"/>
  <c r="E3" i="8"/>
  <c r="D12" i="8"/>
  <c r="B4" i="8"/>
  <c r="B5" i="8"/>
  <c r="B6" i="8"/>
  <c r="B3" i="8"/>
  <c r="C4" i="2"/>
  <c r="E4" i="2" s="1"/>
  <c r="F4" i="2" s="1"/>
  <c r="E4" i="8" s="1"/>
  <c r="C5" i="2"/>
  <c r="E5" i="2" s="1"/>
  <c r="F5" i="2" s="1"/>
  <c r="E5" i="8" s="1"/>
  <c r="C6" i="2"/>
  <c r="E6" i="2" s="1"/>
  <c r="F6" i="2" s="1"/>
  <c r="E6" i="8" s="1"/>
  <c r="C3" i="2"/>
  <c r="E3" i="2" s="1"/>
  <c r="F3" i="2" s="1"/>
  <c r="B4" i="2"/>
  <c r="B5" i="2"/>
  <c r="B6" i="2"/>
  <c r="B3" i="2"/>
  <c r="E3" i="5"/>
  <c r="F3" i="5" s="1"/>
  <c r="E4" i="5"/>
  <c r="F4" i="5" s="1"/>
  <c r="D8" i="1"/>
  <c r="D7" i="1"/>
  <c r="D6" i="1"/>
  <c r="D5" i="1"/>
  <c r="D4" i="1"/>
  <c r="D3" i="1"/>
  <c r="C5" i="4"/>
  <c r="E5" i="4" s="1"/>
  <c r="C3" i="4"/>
  <c r="B4" i="4"/>
  <c r="B5" i="4"/>
  <c r="B6" i="4"/>
  <c r="B3" i="4"/>
  <c r="B8" i="4"/>
  <c r="F6" i="4"/>
  <c r="F5" i="4"/>
  <c r="F4" i="4"/>
  <c r="F3" i="4"/>
  <c r="D5" i="3"/>
  <c r="E5" i="3" s="1"/>
  <c r="C6" i="4" s="1"/>
  <c r="G6" i="4" s="1"/>
  <c r="D4" i="3"/>
  <c r="E4" i="3" s="1"/>
  <c r="D3" i="3"/>
  <c r="E3" i="3" s="1"/>
  <c r="C4" i="4" s="1"/>
  <c r="E4" i="4" s="1"/>
  <c r="D2" i="3"/>
  <c r="E2" i="3" s="1"/>
  <c r="D9" i="1" l="1"/>
  <c r="B12" i="8" s="1"/>
  <c r="B13" i="8" s="1"/>
  <c r="C8" i="4"/>
  <c r="F5" i="5"/>
  <c r="G5" i="4"/>
  <c r="G3" i="4"/>
  <c r="E6" i="4"/>
  <c r="C3" i="9" s="1"/>
  <c r="G4" i="4"/>
  <c r="C12" i="8" l="1"/>
  <c r="C13" i="8" s="1"/>
  <c r="E13" i="8" s="1"/>
  <c r="D7" i="8" s="1"/>
  <c r="C7" i="8" s="1"/>
  <c r="C5" i="7"/>
  <c r="C4" i="9"/>
  <c r="C5" i="9" s="1"/>
  <c r="F7" i="8" l="1"/>
  <c r="I29" i="12"/>
  <c r="K29" i="12" s="1"/>
  <c r="I36" i="13"/>
  <c r="K36" i="13" s="1"/>
  <c r="I9" i="13"/>
  <c r="K9" i="13" s="1"/>
  <c r="L8" i="13" s="1"/>
  <c r="I35" i="12"/>
  <c r="K35" i="12" s="1"/>
  <c r="I19" i="13"/>
  <c r="K19" i="13" s="1"/>
  <c r="I32" i="12"/>
  <c r="K32" i="12" s="1"/>
  <c r="I16" i="13"/>
  <c r="K16" i="13" s="1"/>
  <c r="L15" i="13" s="1"/>
  <c r="C6" i="7"/>
  <c r="C6" i="9" s="1"/>
  <c r="C7" i="9" s="1"/>
  <c r="D5" i="8"/>
  <c r="C5" i="8" s="1"/>
  <c r="D4" i="8"/>
  <c r="C4" i="8" s="1"/>
  <c r="D6" i="8"/>
  <c r="C6" i="8" s="1"/>
  <c r="I11" i="12" l="1"/>
  <c r="J11" i="12" s="1"/>
  <c r="K10" i="12" s="1"/>
  <c r="I5" i="13"/>
  <c r="K5" i="13" s="1"/>
  <c r="L4" i="13" s="1"/>
  <c r="I13" i="12"/>
  <c r="J13" i="12" s="1"/>
  <c r="I5" i="14"/>
  <c r="I37" i="12"/>
  <c r="K37" i="12" s="1"/>
  <c r="L36" i="12" s="1"/>
  <c r="I31" i="13"/>
  <c r="K31" i="13" s="1"/>
  <c r="L30" i="13" s="1"/>
  <c r="I37" i="13"/>
  <c r="K37" i="13" s="1"/>
  <c r="I33" i="13"/>
  <c r="K33" i="13" s="1"/>
  <c r="L32" i="13" s="1"/>
  <c r="I11" i="13"/>
  <c r="K11" i="13" s="1"/>
  <c r="L10" i="13" s="1"/>
  <c r="F5" i="8"/>
  <c r="I29" i="13"/>
  <c r="K29" i="13" s="1"/>
  <c r="L28" i="13" s="1"/>
  <c r="I27" i="13"/>
  <c r="J27" i="13" s="1"/>
  <c r="I25" i="13"/>
  <c r="J25" i="13" s="1"/>
  <c r="I7" i="13"/>
  <c r="K7" i="13" s="1"/>
  <c r="L6" i="13" s="1"/>
  <c r="I16" i="12"/>
  <c r="J16" i="12" s="1"/>
  <c r="K15" i="12" s="1"/>
  <c r="I14" i="12"/>
  <c r="J14" i="12" s="1"/>
  <c r="F6" i="8"/>
  <c r="I31" i="12"/>
  <c r="K31" i="12" s="1"/>
  <c r="L30" i="12" s="1"/>
  <c r="I18" i="13"/>
  <c r="K18" i="13" s="1"/>
  <c r="L17" i="13" s="1"/>
  <c r="I28" i="12"/>
  <c r="K28" i="12" s="1"/>
  <c r="L27" i="12" s="1"/>
  <c r="I35" i="13"/>
  <c r="K35" i="13" s="1"/>
  <c r="L34" i="13" s="1"/>
  <c r="I23" i="13"/>
  <c r="J23" i="13" s="1"/>
  <c r="I14" i="13"/>
  <c r="K14" i="13" s="1"/>
  <c r="L13" i="13" s="1"/>
  <c r="I34" i="12"/>
  <c r="K34" i="12" s="1"/>
  <c r="L33" i="12" s="1"/>
  <c r="C7" i="7"/>
  <c r="F3" i="8"/>
  <c r="F4" i="8"/>
  <c r="K12" i="12" l="1"/>
  <c r="K21" i="14"/>
  <c r="L9" i="12"/>
  <c r="M3" i="12" s="1"/>
  <c r="M26" i="12"/>
  <c r="E5" i="10" s="1"/>
  <c r="K22" i="13"/>
  <c r="L21" i="13" s="1"/>
  <c r="M20" i="13" s="1"/>
  <c r="F8" i="8"/>
  <c r="C8" i="9" s="1"/>
  <c r="C9" i="9" s="1"/>
  <c r="E4" i="10" l="1"/>
  <c r="M39" i="12"/>
  <c r="E3" i="10" s="1"/>
  <c r="E6" i="10"/>
  <c r="E7" i="10"/>
  <c r="F10" i="10" l="1"/>
  <c r="F9" i="10" l="1"/>
  <c r="F8" i="10"/>
  <c r="F6" i="10"/>
  <c r="F7" i="10"/>
</calcChain>
</file>

<file path=xl/sharedStrings.xml><?xml version="1.0" encoding="utf-8"?>
<sst xmlns="http://schemas.openxmlformats.org/spreadsheetml/2006/main" count="349" uniqueCount="134">
  <si>
    <t>Prod(%)</t>
  </si>
  <si>
    <t>Total</t>
  </si>
  <si>
    <t>Project Manager</t>
  </si>
  <si>
    <t>Staff</t>
  </si>
  <si>
    <t>Hours / year</t>
  </si>
  <si>
    <t>Productive hours / year (per person)</t>
  </si>
  <si>
    <t>Productive Hours (Total)</t>
  </si>
  <si>
    <t>TOTAL</t>
  </si>
  <si>
    <t>Amount</t>
  </si>
  <si>
    <t>Gross Annual Salary</t>
  </si>
  <si>
    <t>Annual Salary Cost</t>
  </si>
  <si>
    <t>Lead Researcher</t>
  </si>
  <si>
    <t>Software Engineer</t>
  </si>
  <si>
    <t>Junior Researcher</t>
  </si>
  <si>
    <t>Prod (%)</t>
  </si>
  <si>
    <t>Direct Cost</t>
  </si>
  <si>
    <t>Indirect Cost</t>
  </si>
  <si>
    <t>IC(%)</t>
  </si>
  <si>
    <t>Coste mes</t>
  </si>
  <si>
    <t>Coste año</t>
  </si>
  <si>
    <t>Service</t>
  </si>
  <si>
    <t>Cleaning</t>
  </si>
  <si>
    <t>Light Consumption</t>
  </si>
  <si>
    <t>Water Consumption</t>
  </si>
  <si>
    <t>Heating</t>
  </si>
  <si>
    <t>Internet provider</t>
  </si>
  <si>
    <t>Movility Costs</t>
  </si>
  <si>
    <t>-</t>
  </si>
  <si>
    <t>License/Team</t>
  </si>
  <si>
    <t>Units</t>
  </si>
  <si>
    <t>Price</t>
  </si>
  <si>
    <t>Total Price</t>
  </si>
  <si>
    <t>Annual Cost</t>
  </si>
  <si>
    <t>Type</t>
  </si>
  <si>
    <t>Term</t>
  </si>
  <si>
    <t>Amortization</t>
  </si>
  <si>
    <t>Tobii pro lab license</t>
  </si>
  <si>
    <t>Tobii pro nano</t>
  </si>
  <si>
    <t>Indirect plus direct costs</t>
  </si>
  <si>
    <t>Desired Benefit (0%)</t>
  </si>
  <si>
    <t>Billing Needs</t>
  </si>
  <si>
    <t>Price / hour</t>
  </si>
  <si>
    <t>Price /hour with no benefit</t>
  </si>
  <si>
    <t>Productive Hours</t>
  </si>
  <si>
    <t>Billing</t>
  </si>
  <si>
    <t>Desired Benefit</t>
  </si>
  <si>
    <t>Concept</t>
  </si>
  <si>
    <t>Total direct costs</t>
  </si>
  <si>
    <t>Total Indirect Costs</t>
  </si>
  <si>
    <t>Sum of both direct and indirect costs</t>
  </si>
  <si>
    <t>Total Cost (Sum of costs + benefit)</t>
  </si>
  <si>
    <t>Total cost and billing costs margin</t>
  </si>
  <si>
    <t>Possible billing by productivity hours and price per hour</t>
  </si>
  <si>
    <t>Junior Researcher II</t>
  </si>
  <si>
    <t>Total con beneficios</t>
  </si>
  <si>
    <t>Contingencia</t>
  </si>
  <si>
    <t>Beneficio total</t>
  </si>
  <si>
    <t>Porcentaje de Reparticion al Cliente</t>
  </si>
  <si>
    <t>Number</t>
  </si>
  <si>
    <t>Subtotal (2)</t>
  </si>
  <si>
    <t>Subtotal(1)</t>
  </si>
  <si>
    <t>001</t>
  </si>
  <si>
    <t>002</t>
  </si>
  <si>
    <t>003</t>
  </si>
  <si>
    <t>004</t>
  </si>
  <si>
    <t>OBS</t>
  </si>
  <si>
    <t>WBS</t>
  </si>
  <si>
    <t>005</t>
  </si>
  <si>
    <t>006</t>
  </si>
  <si>
    <t>Index 1</t>
  </si>
  <si>
    <t>Index 2</t>
  </si>
  <si>
    <t>Index 3</t>
  </si>
  <si>
    <t>Task Name</t>
  </si>
  <si>
    <t>Quantity</t>
  </si>
  <si>
    <t>Previous Planning</t>
  </si>
  <si>
    <t>Research Process Planning</t>
  </si>
  <si>
    <t>Needs Analysis</t>
  </si>
  <si>
    <t>Index 4</t>
  </si>
  <si>
    <t>Hours</t>
  </si>
  <si>
    <t>Organization and definition of roles</t>
  </si>
  <si>
    <t>Definition of technology needs</t>
  </si>
  <si>
    <t>Subtotal(3)</t>
  </si>
  <si>
    <t>Identification of technology needs</t>
  </si>
  <si>
    <t>Selection of tools and technologies</t>
  </si>
  <si>
    <t>Acquisition of chosen technologies</t>
  </si>
  <si>
    <t>Project Planning</t>
  </si>
  <si>
    <t>Risk Management</t>
  </si>
  <si>
    <t>Budget Creation</t>
  </si>
  <si>
    <t>First Bake</t>
  </si>
  <si>
    <t>Second and final bake</t>
  </si>
  <si>
    <t>Final Presentation</t>
  </si>
  <si>
    <t>Search and final bake</t>
  </si>
  <si>
    <t>Junior Researcher 1</t>
  </si>
  <si>
    <t>Junior Researcher 2</t>
  </si>
  <si>
    <t>State of the art</t>
  </si>
  <si>
    <t>Code</t>
  </si>
  <si>
    <t>Part</t>
  </si>
  <si>
    <t>Previous Planning and State of the art</t>
  </si>
  <si>
    <t>Experiment Proposal</t>
  </si>
  <si>
    <t>In depth experiment creation</t>
  </si>
  <si>
    <t>Webpage selection</t>
  </si>
  <si>
    <t>Creation of the form</t>
  </si>
  <si>
    <t>Tobii pro lab configuration</t>
  </si>
  <si>
    <t>Experiment Development</t>
  </si>
  <si>
    <t>Book the desired place</t>
  </si>
  <si>
    <t>Preparation of material</t>
  </si>
  <si>
    <t>Data Retrieval</t>
  </si>
  <si>
    <t>Data analysis</t>
  </si>
  <si>
    <t>Data preprocessing</t>
  </si>
  <si>
    <t>Tobii pro lab AOI creation</t>
  </si>
  <si>
    <t>Data Download</t>
  </si>
  <si>
    <t>Preprocessing implementation</t>
  </si>
  <si>
    <t>Data processing</t>
  </si>
  <si>
    <t>Statistical Study</t>
  </si>
  <si>
    <t>Collect conclussions and results</t>
  </si>
  <si>
    <t>Final meeting</t>
  </si>
  <si>
    <t>State of the Art</t>
  </si>
  <si>
    <t>Experiment</t>
  </si>
  <si>
    <t>Indirect</t>
  </si>
  <si>
    <t>Means</t>
  </si>
  <si>
    <t>Non productive</t>
  </si>
  <si>
    <t>Notes to calc</t>
  </si>
  <si>
    <t>Documentation</t>
  </si>
  <si>
    <t>Abstract Writing</t>
  </si>
  <si>
    <t>Introduction Writing</t>
  </si>
  <si>
    <t>Literature Writing</t>
  </si>
  <si>
    <t>Method Writing</t>
  </si>
  <si>
    <t>Results and discussion writing</t>
  </si>
  <si>
    <t>Conclusion Writing</t>
  </si>
  <si>
    <t>Reference review</t>
  </si>
  <si>
    <t>Final documentation review</t>
  </si>
  <si>
    <t>007</t>
  </si>
  <si>
    <t>008</t>
  </si>
  <si>
    <t>Documentation for the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</si>
</sst>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_-* #,##0.00\ [$€-C0A]_-;\-* #,##0.00\ [$€-C0A]_-;_-* &quot;-&quot;??\ [$€-C0A]_-;_-@_-"/>
    <numFmt numFmtId="166" formatCode="0.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rial"/>
      <family val="2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9" fontId="0" fillId="0" borderId="1" xfId="0" applyNumberFormat="1" applyBorder="1"/>
    <xf numFmtId="1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vertical="center" wrapText="1"/>
    </xf>
    <xf numFmtId="164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165" fontId="0" fillId="0" borderId="1" xfId="0" applyNumberFormat="1" applyBorder="1"/>
    <xf numFmtId="9" fontId="0" fillId="0" borderId="1" xfId="2" applyFont="1" applyBorder="1"/>
    <xf numFmtId="44" fontId="0" fillId="0" borderId="1" xfId="1" applyFont="1" applyBorder="1"/>
    <xf numFmtId="44" fontId="2" fillId="0" borderId="1" xfId="1" applyFont="1" applyBorder="1"/>
    <xf numFmtId="0" fontId="0" fillId="0" borderId="1" xfId="0" applyBorder="1" applyAlignment="1">
      <alignment horizontal="right"/>
    </xf>
    <xf numFmtId="44" fontId="0" fillId="0" borderId="1" xfId="0" applyNumberFormat="1" applyBorder="1"/>
    <xf numFmtId="44" fontId="0" fillId="0" borderId="0" xfId="0" applyNumberFormat="1"/>
    <xf numFmtId="44" fontId="0" fillId="0" borderId="0" xfId="1" applyFont="1"/>
    <xf numFmtId="10" fontId="0" fillId="0" borderId="1" xfId="0" applyNumberFormat="1" applyBorder="1"/>
    <xf numFmtId="10" fontId="0" fillId="0" borderId="1" xfId="2" applyNumberFormat="1" applyFont="1" applyBorder="1"/>
    <xf numFmtId="0" fontId="5" fillId="0" borderId="1" xfId="0" applyFont="1" applyBorder="1" applyAlignment="1">
      <alignment horizontal="justify" vertical="center" wrapText="1"/>
    </xf>
    <xf numFmtId="44" fontId="5" fillId="0" borderId="1" xfId="0" applyNumberFormat="1" applyFont="1" applyBorder="1" applyAlignment="1">
      <alignment horizontal="right" vertical="center" wrapText="1"/>
    </xf>
    <xf numFmtId="8" fontId="0" fillId="0" borderId="1" xfId="0" applyNumberFormat="1" applyBorder="1"/>
    <xf numFmtId="0" fontId="2" fillId="0" borderId="1" xfId="0" applyFont="1" applyBorder="1" applyAlignment="1">
      <alignment horizontal="right"/>
    </xf>
    <xf numFmtId="49" fontId="0" fillId="0" borderId="1" xfId="0" applyNumberFormat="1" applyBorder="1"/>
    <xf numFmtId="49" fontId="0" fillId="0" borderId="1" xfId="3" applyNumberFormat="1" applyFont="1" applyBorder="1"/>
    <xf numFmtId="0" fontId="6" fillId="0" borderId="1" xfId="0" applyFont="1" applyBorder="1"/>
    <xf numFmtId="166" fontId="0" fillId="0" borderId="1" xfId="0" applyNumberFormat="1" applyBorder="1"/>
    <xf numFmtId="0" fontId="2" fillId="0" borderId="1" xfId="0" applyFont="1" applyBorder="1" applyAlignment="1">
      <alignment horizontal="left" indent="1"/>
    </xf>
    <xf numFmtId="0" fontId="0" fillId="0" borderId="1" xfId="0" applyBorder="1" applyAlignment="1">
      <alignment horizontal="left" indent="2"/>
    </xf>
    <xf numFmtId="0" fontId="0" fillId="0" borderId="0" xfId="0" applyAlignment="1">
      <alignment horizontal="left" indent="2"/>
    </xf>
    <xf numFmtId="49" fontId="2" fillId="0" borderId="2" xfId="0" applyNumberFormat="1" applyFont="1" applyBorder="1" applyAlignment="1">
      <alignment horizontal="right"/>
    </xf>
    <xf numFmtId="49" fontId="2" fillId="0" borderId="3" xfId="0" applyNumberFormat="1" applyFont="1" applyBorder="1" applyAlignment="1">
      <alignment horizontal="right"/>
    </xf>
    <xf numFmtId="49" fontId="2" fillId="0" borderId="4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indent="2"/>
    </xf>
    <xf numFmtId="0" fontId="2" fillId="0" borderId="0" xfId="0" applyFont="1" applyAlignment="1">
      <alignment horizontal="left" indent="2"/>
    </xf>
    <xf numFmtId="0" fontId="0" fillId="0" borderId="1" xfId="0" applyFont="1" applyBorder="1" applyAlignment="1">
      <alignment horizontal="left" indent="2"/>
    </xf>
    <xf numFmtId="0" fontId="0" fillId="0" borderId="1" xfId="0" applyFont="1" applyBorder="1" applyAlignment="1">
      <alignment horizontal="left" indent="3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vertical="center" wrapText="1" indent="1"/>
    </xf>
    <xf numFmtId="0" fontId="7" fillId="0" borderId="1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8" fontId="5" fillId="0" borderId="1" xfId="0" applyNumberFormat="1" applyFont="1" applyBorder="1" applyAlignment="1">
      <alignment horizontal="right" vertical="center"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rab\Documents\Universidad\TFG\&#209;am&#241;am\Presupuestos.xlsx" TargetMode="External"/><Relationship Id="rId1" Type="http://schemas.openxmlformats.org/officeDocument/2006/relationships/externalLinkPath" Target="/Users/garab/Documents/Universidad/TFG/&#209;am&#241;am/Presupues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rsonal"/>
      <sheetName val="Productividad Personal"/>
      <sheetName val="Costes Indirectos"/>
      <sheetName val="Costes de Medios de Producción"/>
      <sheetName val="Necesidades de facturación"/>
      <sheetName val="Reparto de horas"/>
      <sheetName val="Precio por Hora"/>
      <sheetName val="Resumen"/>
      <sheetName val="Presupuesto"/>
      <sheetName val="Cliente"/>
      <sheetName val="Partida1"/>
      <sheetName val="Partida2"/>
      <sheetName val="Partida3"/>
    </sheetNames>
    <sheetDataSet>
      <sheetData sheetId="0">
        <row r="11">
          <cell r="A11" t="str">
            <v>TOTAL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D5DF2A-D308-4C4E-BE65-3F6647CF287F}">
  <we:reference id="WA200005669" version="2.0.0.0" store="Omex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6ABE-4558-4BE9-B631-610CD6511C13}">
  <sheetPr>
    <tabColor rgb="FFFFFF00"/>
  </sheetPr>
  <dimension ref="A1:E7"/>
  <sheetViews>
    <sheetView workbookViewId="0">
      <selection activeCell="E7" sqref="E7"/>
    </sheetView>
  </sheetViews>
  <sheetFormatPr defaultRowHeight="15" x14ac:dyDescent="0.25"/>
  <cols>
    <col min="1" max="1" width="27.42578125" customWidth="1"/>
    <col min="2" max="2" width="8" bestFit="1" customWidth="1"/>
    <col min="3" max="3" width="19" bestFit="1" customWidth="1"/>
    <col min="4" max="4" width="18" bestFit="1" customWidth="1"/>
    <col min="5" max="5" width="11.5703125" bestFit="1" customWidth="1"/>
  </cols>
  <sheetData>
    <row r="1" spans="1:5" x14ac:dyDescent="0.25">
      <c r="A1" s="6" t="s">
        <v>3</v>
      </c>
      <c r="B1" s="7" t="s">
        <v>8</v>
      </c>
      <c r="C1" s="7" t="s">
        <v>9</v>
      </c>
      <c r="D1" s="7" t="s">
        <v>10</v>
      </c>
      <c r="E1" s="7" t="s">
        <v>7</v>
      </c>
    </row>
    <row r="2" spans="1:5" x14ac:dyDescent="0.25">
      <c r="A2" s="8" t="s">
        <v>2</v>
      </c>
      <c r="B2" s="3">
        <v>1</v>
      </c>
      <c r="C2" s="9">
        <v>42000</v>
      </c>
      <c r="D2" s="9">
        <f>C2*1.3</f>
        <v>54600</v>
      </c>
      <c r="E2" s="9">
        <f>D2*B2</f>
        <v>54600</v>
      </c>
    </row>
    <row r="3" spans="1:5" x14ac:dyDescent="0.25">
      <c r="A3" s="8" t="s">
        <v>11</v>
      </c>
      <c r="B3" s="3">
        <v>1</v>
      </c>
      <c r="C3" s="9">
        <v>42000</v>
      </c>
      <c r="D3" s="9">
        <f>C3*1.3</f>
        <v>54600</v>
      </c>
      <c r="E3" s="9">
        <f>D3*B3</f>
        <v>54600</v>
      </c>
    </row>
    <row r="4" spans="1:5" x14ac:dyDescent="0.25">
      <c r="A4" s="8" t="s">
        <v>12</v>
      </c>
      <c r="B4" s="3">
        <v>1</v>
      </c>
      <c r="C4" s="9">
        <v>32000</v>
      </c>
      <c r="D4" s="9">
        <f t="shared" ref="D4:D6" si="0">C4*1.3</f>
        <v>41600</v>
      </c>
      <c r="E4" s="9">
        <f t="shared" ref="E4:E6" si="1">D4*B4</f>
        <v>41600</v>
      </c>
    </row>
    <row r="5" spans="1:5" x14ac:dyDescent="0.25">
      <c r="A5" s="8" t="s">
        <v>13</v>
      </c>
      <c r="B5" s="3">
        <v>1</v>
      </c>
      <c r="C5" s="9">
        <v>25000</v>
      </c>
      <c r="D5" s="9">
        <f t="shared" si="0"/>
        <v>32500</v>
      </c>
      <c r="E5" s="9">
        <f t="shared" si="1"/>
        <v>32500</v>
      </c>
    </row>
    <row r="6" spans="1:5" x14ac:dyDescent="0.25">
      <c r="A6" s="8" t="s">
        <v>53</v>
      </c>
      <c r="B6" s="3">
        <v>1</v>
      </c>
      <c r="C6" s="9">
        <v>25000</v>
      </c>
      <c r="D6" s="9">
        <f t="shared" si="0"/>
        <v>32500</v>
      </c>
      <c r="E6" s="9">
        <f t="shared" si="1"/>
        <v>32500</v>
      </c>
    </row>
    <row r="7" spans="1:5" x14ac:dyDescent="0.25">
      <c r="A7" s="10" t="s">
        <v>7</v>
      </c>
      <c r="B7" s="3">
        <f>SUM(B2:B6)</f>
        <v>5</v>
      </c>
      <c r="C7" s="9"/>
      <c r="D7" s="9"/>
      <c r="E7" s="9">
        <f>SUM(E2:E6)</f>
        <v>215800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8465-CCD1-4594-BBF5-7C0E106D6D5D}">
  <sheetPr>
    <tabColor rgb="FFFFFF00"/>
  </sheetPr>
  <dimension ref="B2:G8"/>
  <sheetViews>
    <sheetView workbookViewId="0">
      <selection activeCell="G8" sqref="G8"/>
    </sheetView>
  </sheetViews>
  <sheetFormatPr defaultRowHeight="15" x14ac:dyDescent="0.25"/>
  <cols>
    <col min="2" max="2" width="24.5703125" bestFit="1" customWidth="1"/>
    <col min="3" max="3" width="13.140625" bestFit="1" customWidth="1"/>
    <col min="4" max="4" width="8.5703125" bestFit="1" customWidth="1"/>
    <col min="5" max="5" width="13.7109375" bestFit="1" customWidth="1"/>
    <col min="6" max="6" width="6" bestFit="1" customWidth="1"/>
    <col min="7" max="7" width="15.140625" bestFit="1" customWidth="1"/>
  </cols>
  <sheetData>
    <row r="2" spans="2:7" x14ac:dyDescent="0.25">
      <c r="B2" s="6" t="s">
        <v>3</v>
      </c>
      <c r="C2" s="7" t="s">
        <v>7</v>
      </c>
      <c r="D2" s="7" t="s">
        <v>14</v>
      </c>
      <c r="E2" s="7" t="s">
        <v>15</v>
      </c>
      <c r="F2" s="7" t="s">
        <v>17</v>
      </c>
      <c r="G2" s="7" t="s">
        <v>16</v>
      </c>
    </row>
    <row r="3" spans="2:7" x14ac:dyDescent="0.25">
      <c r="B3" s="1" t="str">
        <f>Staff!A2</f>
        <v>Project Manager</v>
      </c>
      <c r="C3" s="11">
        <f>Staff!E2</f>
        <v>54600</v>
      </c>
      <c r="D3" s="12">
        <v>0</v>
      </c>
      <c r="E3" s="11">
        <v>0</v>
      </c>
      <c r="F3" s="12">
        <f>1-D3</f>
        <v>1</v>
      </c>
      <c r="G3" s="11">
        <f>C3*F3</f>
        <v>54600</v>
      </c>
    </row>
    <row r="4" spans="2:7" x14ac:dyDescent="0.25">
      <c r="B4" s="1" t="str">
        <f>Staff!A3</f>
        <v>Lead Researcher</v>
      </c>
      <c r="C4" s="11">
        <f>Staff!E3</f>
        <v>54600</v>
      </c>
      <c r="D4" s="12">
        <v>0.7</v>
      </c>
      <c r="E4" s="11">
        <f t="shared" ref="E4:E7" si="0">C4*D4</f>
        <v>38220</v>
      </c>
      <c r="F4" s="12">
        <f>1-D4</f>
        <v>0.30000000000000004</v>
      </c>
      <c r="G4" s="11">
        <f>C4*F4</f>
        <v>16380.000000000002</v>
      </c>
    </row>
    <row r="5" spans="2:7" x14ac:dyDescent="0.25">
      <c r="B5" s="1" t="str">
        <f>Staff!A4</f>
        <v>Software Engineer</v>
      </c>
      <c r="C5" s="11">
        <f>Staff!E4</f>
        <v>41600</v>
      </c>
      <c r="D5" s="12">
        <v>0.8</v>
      </c>
      <c r="E5" s="11">
        <f t="shared" si="0"/>
        <v>33280</v>
      </c>
      <c r="F5" s="12">
        <f t="shared" ref="F5:F7" si="1">1-D5</f>
        <v>0.19999999999999996</v>
      </c>
      <c r="G5" s="11">
        <f t="shared" ref="G5:G7" si="2">C5*F5</f>
        <v>8319.9999999999982</v>
      </c>
    </row>
    <row r="6" spans="2:7" x14ac:dyDescent="0.25">
      <c r="B6" s="1" t="str">
        <f>Staff!A5</f>
        <v>Junior Researcher</v>
      </c>
      <c r="C6" s="11">
        <f>Staff!E5</f>
        <v>32500</v>
      </c>
      <c r="D6" s="12">
        <v>0.8</v>
      </c>
      <c r="E6" s="11">
        <f t="shared" si="0"/>
        <v>26000</v>
      </c>
      <c r="F6" s="12">
        <f t="shared" si="1"/>
        <v>0.19999999999999996</v>
      </c>
      <c r="G6" s="11">
        <f t="shared" si="2"/>
        <v>6499.9999999999982</v>
      </c>
    </row>
    <row r="7" spans="2:7" x14ac:dyDescent="0.25">
      <c r="B7" s="1" t="str">
        <f>Staff!A6</f>
        <v>Junior Researcher II</v>
      </c>
      <c r="C7" s="11">
        <f>Staff!E6</f>
        <v>32500</v>
      </c>
      <c r="D7" s="12">
        <v>0.8</v>
      </c>
      <c r="E7" s="11">
        <f t="shared" si="0"/>
        <v>26000</v>
      </c>
      <c r="F7" s="12">
        <f t="shared" si="1"/>
        <v>0.19999999999999996</v>
      </c>
      <c r="G7" s="11">
        <f t="shared" si="2"/>
        <v>6499.9999999999982</v>
      </c>
    </row>
    <row r="8" spans="2:7" x14ac:dyDescent="0.25">
      <c r="B8" s="1" t="str">
        <f>[1]Personal!A11</f>
        <v>TOTAL</v>
      </c>
      <c r="C8" s="11">
        <f>Staff!E7</f>
        <v>215800</v>
      </c>
      <c r="D8" s="11"/>
      <c r="E8" s="11">
        <f>SUM(E3:E7)</f>
        <v>123500</v>
      </c>
      <c r="F8" s="11"/>
      <c r="G8" s="11">
        <f>SUM(G3:G7)</f>
        <v>92300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736C-C205-459D-8E1F-A7897EE265D1}">
  <sheetPr>
    <tabColor rgb="FFFFFF00"/>
  </sheetPr>
  <dimension ref="B2:D9"/>
  <sheetViews>
    <sheetView tabSelected="1" workbookViewId="0">
      <selection activeCell="H7" sqref="H7"/>
    </sheetView>
  </sheetViews>
  <sheetFormatPr defaultRowHeight="15" x14ac:dyDescent="0.25"/>
  <cols>
    <col min="2" max="2" width="21.42578125" bestFit="1" customWidth="1"/>
    <col min="3" max="3" width="10.7109375" bestFit="1" customWidth="1"/>
    <col min="4" max="4" width="11" bestFit="1" customWidth="1"/>
  </cols>
  <sheetData>
    <row r="2" spans="2:4" x14ac:dyDescent="0.25">
      <c r="B2" s="7" t="s">
        <v>20</v>
      </c>
      <c r="C2" s="7" t="s">
        <v>18</v>
      </c>
      <c r="D2" s="7" t="s">
        <v>19</v>
      </c>
    </row>
    <row r="3" spans="2:4" x14ac:dyDescent="0.25">
      <c r="B3" s="13" t="s">
        <v>21</v>
      </c>
      <c r="C3" s="13">
        <v>20</v>
      </c>
      <c r="D3" s="13">
        <f>C3*12</f>
        <v>240</v>
      </c>
    </row>
    <row r="4" spans="2:4" x14ac:dyDescent="0.25">
      <c r="B4" s="13" t="s">
        <v>22</v>
      </c>
      <c r="C4" s="13">
        <v>70</v>
      </c>
      <c r="D4" s="13">
        <f t="shared" ref="D4:D8" si="0">C4*12</f>
        <v>840</v>
      </c>
    </row>
    <row r="5" spans="2:4" x14ac:dyDescent="0.25">
      <c r="B5" s="13" t="s">
        <v>23</v>
      </c>
      <c r="C5" s="13">
        <v>20</v>
      </c>
      <c r="D5" s="13">
        <f t="shared" si="0"/>
        <v>240</v>
      </c>
    </row>
    <row r="6" spans="2:4" x14ac:dyDescent="0.25">
      <c r="B6" s="13" t="s">
        <v>24</v>
      </c>
      <c r="C6" s="13">
        <v>20</v>
      </c>
      <c r="D6" s="13">
        <f t="shared" si="0"/>
        <v>240</v>
      </c>
    </row>
    <row r="7" spans="2:4" x14ac:dyDescent="0.25">
      <c r="B7" s="13" t="s">
        <v>25</v>
      </c>
      <c r="C7" s="13">
        <v>65.989999999999995</v>
      </c>
      <c r="D7" s="13">
        <f t="shared" si="0"/>
        <v>791.87999999999988</v>
      </c>
    </row>
    <row r="8" spans="2:4" x14ac:dyDescent="0.25">
      <c r="B8" s="13" t="s">
        <v>26</v>
      </c>
      <c r="C8" s="13">
        <v>40</v>
      </c>
      <c r="D8" s="13">
        <f t="shared" si="0"/>
        <v>480</v>
      </c>
    </row>
    <row r="9" spans="2:4" x14ac:dyDescent="0.25">
      <c r="B9" s="14" t="s">
        <v>1</v>
      </c>
      <c r="C9" s="13"/>
      <c r="D9" s="13">
        <f>SUM(D3:D8)</f>
        <v>2831.88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D9B73-A730-4625-B0C6-2877FAA5F1FA}">
  <sheetPr>
    <tabColor rgb="FFFFFF00"/>
  </sheetPr>
  <dimension ref="B2:H5"/>
  <sheetViews>
    <sheetView workbookViewId="0">
      <selection activeCell="A5" sqref="A5:XFD5"/>
    </sheetView>
  </sheetViews>
  <sheetFormatPr defaultRowHeight="15" x14ac:dyDescent="0.25"/>
  <cols>
    <col min="2" max="2" width="21.85546875" bestFit="1" customWidth="1"/>
    <col min="4" max="4" width="11" bestFit="1" customWidth="1"/>
    <col min="5" max="5" width="11.28515625" bestFit="1" customWidth="1"/>
    <col min="6" max="6" width="11.85546875" bestFit="1" customWidth="1"/>
    <col min="7" max="7" width="12.28515625" bestFit="1" customWidth="1"/>
  </cols>
  <sheetData>
    <row r="2" spans="2:8" x14ac:dyDescent="0.25">
      <c r="B2" s="6" t="s">
        <v>28</v>
      </c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</row>
    <row r="3" spans="2:8" x14ac:dyDescent="0.25">
      <c r="B3" s="1" t="s">
        <v>37</v>
      </c>
      <c r="C3" s="1">
        <v>1</v>
      </c>
      <c r="D3" s="13">
        <v>2500</v>
      </c>
      <c r="E3" s="13">
        <f t="shared" ref="E3:E4" si="0">C3*D3</f>
        <v>2500</v>
      </c>
      <c r="F3" s="13">
        <f>E3/12</f>
        <v>208.33333333333334</v>
      </c>
      <c r="G3" s="1" t="s">
        <v>35</v>
      </c>
      <c r="H3" s="15" t="s">
        <v>27</v>
      </c>
    </row>
    <row r="4" spans="2:8" x14ac:dyDescent="0.25">
      <c r="B4" s="1" t="s">
        <v>36</v>
      </c>
      <c r="C4" s="1">
        <v>1</v>
      </c>
      <c r="D4" s="13">
        <v>1800</v>
      </c>
      <c r="E4" s="13">
        <f t="shared" si="0"/>
        <v>1800</v>
      </c>
      <c r="F4" s="13">
        <f>E4/12</f>
        <v>150</v>
      </c>
      <c r="G4" s="1" t="s">
        <v>35</v>
      </c>
      <c r="H4" s="15" t="s">
        <v>27</v>
      </c>
    </row>
    <row r="5" spans="2:8" x14ac:dyDescent="0.25">
      <c r="B5" s="6" t="s">
        <v>1</v>
      </c>
      <c r="C5" s="1"/>
      <c r="D5" s="13"/>
      <c r="E5" s="13"/>
      <c r="F5" s="13">
        <f>SUM(F3:F4)</f>
        <v>358.33333333333337</v>
      </c>
      <c r="G5" s="1"/>
      <c r="H5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3A5A-A25B-4C2E-AD54-E21E6CCCDF36}">
  <sheetPr>
    <tabColor rgb="FFFFFF00"/>
  </sheetPr>
  <dimension ref="B5:F7"/>
  <sheetViews>
    <sheetView workbookViewId="0">
      <selection activeCell="C6" sqref="C6"/>
    </sheetView>
  </sheetViews>
  <sheetFormatPr defaultRowHeight="15" x14ac:dyDescent="0.25"/>
  <cols>
    <col min="2" max="2" width="28.5703125" bestFit="1" customWidth="1"/>
    <col min="3" max="3" width="11.5703125" bestFit="1" customWidth="1"/>
    <col min="5" max="5" width="14.28515625" bestFit="1" customWidth="1"/>
  </cols>
  <sheetData>
    <row r="5" spans="2:6" x14ac:dyDescent="0.25">
      <c r="B5" s="1" t="s">
        <v>38</v>
      </c>
      <c r="C5" s="2">
        <f>'Production Costs'!F5+'Indirect Costs'!D9+'Staff Productivity'!C8</f>
        <v>218990.21333333335</v>
      </c>
    </row>
    <row r="6" spans="2:6" x14ac:dyDescent="0.25">
      <c r="B6" s="1" t="s">
        <v>39</v>
      </c>
      <c r="C6" s="2">
        <f>C5*F6</f>
        <v>0</v>
      </c>
      <c r="E6" s="1" t="s">
        <v>45</v>
      </c>
      <c r="F6" s="19">
        <v>0</v>
      </c>
    </row>
    <row r="7" spans="2:6" x14ac:dyDescent="0.25">
      <c r="B7" s="1" t="s">
        <v>40</v>
      </c>
      <c r="C7" s="2">
        <f>C5+C6</f>
        <v>218990.21333333335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1A420-B24F-4D25-B216-80B710ADFFA5}">
  <sheetPr>
    <tabColor rgb="FFFFFF00"/>
  </sheetPr>
  <dimension ref="B2:F8"/>
  <sheetViews>
    <sheetView workbookViewId="0">
      <selection activeCell="F8" sqref="F8"/>
    </sheetView>
  </sheetViews>
  <sheetFormatPr defaultRowHeight="15" x14ac:dyDescent="0.25"/>
  <cols>
    <col min="2" max="2" width="24.5703125" bestFit="1" customWidth="1"/>
    <col min="3" max="3" width="8.140625" bestFit="1" customWidth="1"/>
    <col min="4" max="4" width="11.28515625" bestFit="1" customWidth="1"/>
    <col min="5" max="5" width="35.5703125" bestFit="1" customWidth="1"/>
    <col min="6" max="6" width="32.28515625" bestFit="1" customWidth="1"/>
  </cols>
  <sheetData>
    <row r="2" spans="2:6" x14ac:dyDescent="0.25">
      <c r="B2" s="1" t="s">
        <v>3</v>
      </c>
      <c r="C2" s="3" t="s">
        <v>0</v>
      </c>
      <c r="D2" s="3" t="s">
        <v>4</v>
      </c>
      <c r="E2" s="3" t="s">
        <v>5</v>
      </c>
      <c r="F2" s="3" t="s">
        <v>6</v>
      </c>
    </row>
    <row r="3" spans="2:6" x14ac:dyDescent="0.25">
      <c r="B3" s="1" t="str">
        <f>Staff!A2</f>
        <v>Project Manager</v>
      </c>
      <c r="C3" s="4">
        <f>'Staff Productivity'!D3</f>
        <v>0</v>
      </c>
      <c r="D3" s="1">
        <v>1784</v>
      </c>
      <c r="E3" s="1">
        <f>D3*C3</f>
        <v>0</v>
      </c>
      <c r="F3" s="1">
        <f>E3</f>
        <v>0</v>
      </c>
    </row>
    <row r="4" spans="2:6" x14ac:dyDescent="0.25">
      <c r="B4" s="1" t="str">
        <f>Staff!A3</f>
        <v>Lead Researcher</v>
      </c>
      <c r="C4" s="4">
        <f>'Staff Productivity'!D4</f>
        <v>0.7</v>
      </c>
      <c r="D4" s="1">
        <v>1784</v>
      </c>
      <c r="E4" s="5">
        <f>D4*C4</f>
        <v>1248.8</v>
      </c>
      <c r="F4" s="1">
        <f>E4</f>
        <v>1248.8</v>
      </c>
    </row>
    <row r="5" spans="2:6" x14ac:dyDescent="0.25">
      <c r="B5" s="1" t="str">
        <f>Staff!A4</f>
        <v>Software Engineer</v>
      </c>
      <c r="C5" s="4">
        <f>'Staff Productivity'!D5</f>
        <v>0.8</v>
      </c>
      <c r="D5" s="1">
        <v>1784</v>
      </c>
      <c r="E5" s="1">
        <f t="shared" ref="E5:E6" si="0">D5*C5</f>
        <v>1427.2</v>
      </c>
      <c r="F5" s="1">
        <f t="shared" ref="F5" si="1">E5</f>
        <v>1427.2</v>
      </c>
    </row>
    <row r="6" spans="2:6" x14ac:dyDescent="0.25">
      <c r="B6" s="1" t="str">
        <f>Staff!A5</f>
        <v>Junior Researcher</v>
      </c>
      <c r="C6" s="4">
        <f>'Staff Productivity'!D6</f>
        <v>0.8</v>
      </c>
      <c r="D6" s="1">
        <v>1784</v>
      </c>
      <c r="E6" s="1">
        <f t="shared" si="0"/>
        <v>1427.2</v>
      </c>
      <c r="F6" s="1">
        <f>E6*2</f>
        <v>2854.4</v>
      </c>
    </row>
    <row r="7" spans="2:6" x14ac:dyDescent="0.25">
      <c r="B7" s="1" t="str">
        <f>Staff!A6</f>
        <v>Junior Researcher II</v>
      </c>
      <c r="C7" s="4">
        <f>'Staff Productivity'!D7</f>
        <v>0.8</v>
      </c>
      <c r="D7" s="1">
        <v>1784</v>
      </c>
      <c r="E7" s="1">
        <f t="shared" ref="E7" si="2">D7*C7</f>
        <v>1427.2</v>
      </c>
      <c r="F7" s="1">
        <f>E7*2</f>
        <v>2854.4</v>
      </c>
    </row>
    <row r="8" spans="2:6" x14ac:dyDescent="0.25">
      <c r="B8" s="6" t="s">
        <v>1</v>
      </c>
      <c r="C8" s="1"/>
      <c r="D8" s="1"/>
      <c r="E8" s="1"/>
      <c r="F8" s="1">
        <f>SUM(F3:F7)</f>
        <v>8384.7999999999993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79AD6-F9BF-485F-A020-C71C3CAFAE89}">
  <sheetPr>
    <tabColor rgb="FFFFFF00"/>
  </sheetPr>
  <dimension ref="A2:F13"/>
  <sheetViews>
    <sheetView workbookViewId="0">
      <selection activeCell="A14" sqref="A14"/>
    </sheetView>
  </sheetViews>
  <sheetFormatPr defaultRowHeight="15" x14ac:dyDescent="0.25"/>
  <cols>
    <col min="1" max="1" width="12.42578125" bestFit="1" customWidth="1"/>
    <col min="2" max="2" width="24.5703125" bestFit="1" customWidth="1"/>
    <col min="3" max="3" width="12.28515625" bestFit="1" customWidth="1"/>
    <col min="4" max="4" width="24.42578125" bestFit="1" customWidth="1"/>
    <col min="5" max="5" width="17.42578125" bestFit="1" customWidth="1"/>
    <col min="6" max="6" width="13.140625" bestFit="1" customWidth="1"/>
  </cols>
  <sheetData>
    <row r="2" spans="1:6" x14ac:dyDescent="0.25">
      <c r="B2" s="1" t="s">
        <v>3</v>
      </c>
      <c r="C2" s="3" t="s">
        <v>41</v>
      </c>
      <c r="D2" s="3" t="s">
        <v>42</v>
      </c>
      <c r="E2" s="3" t="s">
        <v>43</v>
      </c>
      <c r="F2" s="3" t="s">
        <v>44</v>
      </c>
    </row>
    <row r="3" spans="1:6" x14ac:dyDescent="0.25">
      <c r="B3" s="1" t="str">
        <f>Staff!A2</f>
        <v>Project Manager</v>
      </c>
      <c r="C3" s="16">
        <f>D3*(1+'Billing Needs'!$F$6)</f>
        <v>0</v>
      </c>
      <c r="D3" s="13">
        <v>0</v>
      </c>
      <c r="E3" s="1">
        <f>Schedule!F3</f>
        <v>0</v>
      </c>
      <c r="F3" s="13">
        <f>C4*E3</f>
        <v>0</v>
      </c>
    </row>
    <row r="4" spans="1:6" x14ac:dyDescent="0.25">
      <c r="B4" s="1" t="str">
        <f>Staff!A3</f>
        <v>Lead Researcher</v>
      </c>
      <c r="C4" s="16">
        <f>D4*(1+'Billing Needs'!$F$6)</f>
        <v>56</v>
      </c>
      <c r="D4" s="16">
        <f>ROUNDUP(((Staff!D3+$E$13)/E4),0)</f>
        <v>56</v>
      </c>
      <c r="E4" s="1">
        <f>Schedule!F4</f>
        <v>1248.8</v>
      </c>
      <c r="F4" s="13">
        <f>C4*E4</f>
        <v>69932.800000000003</v>
      </c>
    </row>
    <row r="5" spans="1:6" x14ac:dyDescent="0.25">
      <c r="B5" s="1" t="str">
        <f>Staff!A4</f>
        <v>Software Engineer</v>
      </c>
      <c r="C5" s="16">
        <f>D5*(1+'Billing Needs'!$F$6)</f>
        <v>40</v>
      </c>
      <c r="D5" s="16">
        <f>ROUNDUP(((Staff!D4+$E$13)/E5),0)</f>
        <v>40</v>
      </c>
      <c r="E5" s="1">
        <f>Schedule!F5</f>
        <v>1427.2</v>
      </c>
      <c r="F5" s="13">
        <f>C5*E5</f>
        <v>57088</v>
      </c>
    </row>
    <row r="6" spans="1:6" x14ac:dyDescent="0.25">
      <c r="B6" s="1" t="str">
        <f>Staff!A5</f>
        <v>Junior Researcher</v>
      </c>
      <c r="C6" s="16">
        <f>D6*(1+'Billing Needs'!$F$6)</f>
        <v>17</v>
      </c>
      <c r="D6" s="16">
        <f>ROUNDUP(((Staff!D5+$E$13)/E6),0)</f>
        <v>17</v>
      </c>
      <c r="E6" s="1">
        <f>Schedule!F6</f>
        <v>2854.4</v>
      </c>
      <c r="F6" s="13">
        <f>C6*E6</f>
        <v>48524.800000000003</v>
      </c>
    </row>
    <row r="7" spans="1:6" x14ac:dyDescent="0.25">
      <c r="B7" s="1" t="str">
        <f>Staff!A6</f>
        <v>Junior Researcher II</v>
      </c>
      <c r="C7" s="16">
        <f>D7*(1+'Billing Needs'!$F$6)</f>
        <v>17</v>
      </c>
      <c r="D7" s="16">
        <f>ROUNDUP(((Staff!D6+$E$13)/E7),0)</f>
        <v>17</v>
      </c>
      <c r="E7" s="1">
        <f>Schedule!F7</f>
        <v>2854.4</v>
      </c>
      <c r="F7" s="13">
        <f>C7*E7</f>
        <v>48524.800000000003</v>
      </c>
    </row>
    <row r="8" spans="1:6" x14ac:dyDescent="0.25">
      <c r="B8" s="6" t="s">
        <v>1</v>
      </c>
      <c r="C8" s="1"/>
      <c r="D8" s="1"/>
      <c r="E8" s="1"/>
      <c r="F8" s="13">
        <f>SUM(F4:F7)</f>
        <v>224070.40000000002</v>
      </c>
    </row>
    <row r="11" spans="1:6" x14ac:dyDescent="0.25">
      <c r="B11" t="s">
        <v>118</v>
      </c>
      <c r="C11" t="s">
        <v>119</v>
      </c>
      <c r="D11" t="s">
        <v>120</v>
      </c>
    </row>
    <row r="12" spans="1:6" x14ac:dyDescent="0.25">
      <c r="B12" s="17">
        <f>'Indirect Costs'!D9</f>
        <v>2831.88</v>
      </c>
      <c r="C12" s="17">
        <f>'Production Costs'!F5</f>
        <v>358.33333333333337</v>
      </c>
      <c r="D12" s="18">
        <f>'Staff Productivity'!G3</f>
        <v>54600</v>
      </c>
    </row>
    <row r="13" spans="1:6" x14ac:dyDescent="0.25">
      <c r="A13" t="s">
        <v>121</v>
      </c>
      <c r="B13" s="17">
        <f>B12/(Staff!$B$7-1)</f>
        <v>707.97</v>
      </c>
      <c r="C13" s="17">
        <f>C12/(Staff!$B$7-1)</f>
        <v>89.583333333333343</v>
      </c>
      <c r="D13" s="17">
        <f>D12/(Staff!$B$7-1)</f>
        <v>13650</v>
      </c>
      <c r="E13" s="17">
        <f>SUM(B13:D13)</f>
        <v>14447.553333333333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F3D5B-8A38-41BD-882D-776151CF5950}">
  <sheetPr>
    <tabColor rgb="FFFFFF00"/>
  </sheetPr>
  <dimension ref="B2:C9"/>
  <sheetViews>
    <sheetView workbookViewId="0">
      <selection activeCell="C8" sqref="C8"/>
    </sheetView>
  </sheetViews>
  <sheetFormatPr defaultRowHeight="15" x14ac:dyDescent="0.25"/>
  <cols>
    <col min="2" max="2" width="87.7109375" bestFit="1" customWidth="1"/>
    <col min="3" max="3" width="13.140625" bestFit="1" customWidth="1"/>
  </cols>
  <sheetData>
    <row r="2" spans="2:3" x14ac:dyDescent="0.25">
      <c r="B2" s="6" t="s">
        <v>46</v>
      </c>
      <c r="C2" s="1"/>
    </row>
    <row r="3" spans="2:3" x14ac:dyDescent="0.25">
      <c r="B3" s="1" t="s">
        <v>47</v>
      </c>
      <c r="C3" s="13">
        <f>'Staff Productivity'!E8</f>
        <v>123500</v>
      </c>
    </row>
    <row r="4" spans="2:3" x14ac:dyDescent="0.25">
      <c r="B4" s="1" t="s">
        <v>48</v>
      </c>
      <c r="C4" s="13">
        <f>'Staff Productivity'!G8+'Indirect Costs'!D9+'Production Costs'!F5</f>
        <v>95490.213333333333</v>
      </c>
    </row>
    <row r="5" spans="2:3" x14ac:dyDescent="0.25">
      <c r="B5" s="1" t="s">
        <v>49</v>
      </c>
      <c r="C5" s="13">
        <f>C3+C4</f>
        <v>218990.21333333332</v>
      </c>
    </row>
    <row r="6" spans="2:3" x14ac:dyDescent="0.25">
      <c r="B6" s="1" t="s">
        <v>45</v>
      </c>
      <c r="C6" s="13">
        <f>'Billing Needs'!C6</f>
        <v>0</v>
      </c>
    </row>
    <row r="7" spans="2:3" x14ac:dyDescent="0.25">
      <c r="B7" s="1" t="s">
        <v>50</v>
      </c>
      <c r="C7" s="13">
        <f>C6+C5</f>
        <v>218990.21333333332</v>
      </c>
    </row>
    <row r="8" spans="2:3" x14ac:dyDescent="0.25">
      <c r="B8" s="1" t="s">
        <v>52</v>
      </c>
      <c r="C8" s="13">
        <f>'Price per Hour'!F8</f>
        <v>224070.40000000002</v>
      </c>
    </row>
    <row r="9" spans="2:3" x14ac:dyDescent="0.25">
      <c r="B9" s="1" t="s">
        <v>51</v>
      </c>
      <c r="C9" s="20">
        <f>C8/C7-1</f>
        <v>2.3198236073380896E-2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E067-B1FA-4EDB-A184-6CCAB4882DCA}">
  <sheetPr>
    <tabColor rgb="FF7030A0"/>
  </sheetPr>
  <dimension ref="B2:F15"/>
  <sheetViews>
    <sheetView workbookViewId="0">
      <selection activeCell="D11" sqref="D11"/>
    </sheetView>
  </sheetViews>
  <sheetFormatPr defaultRowHeight="15" x14ac:dyDescent="0.25"/>
  <cols>
    <col min="2" max="2" width="6" bestFit="1" customWidth="1"/>
    <col min="3" max="3" width="8.42578125" bestFit="1" customWidth="1"/>
    <col min="4" max="4" width="40.42578125" bestFit="1" customWidth="1"/>
    <col min="5" max="5" width="11.85546875" bestFit="1" customWidth="1"/>
    <col min="6" max="6" width="13.28515625" bestFit="1" customWidth="1"/>
  </cols>
  <sheetData>
    <row r="2" spans="2:6" x14ac:dyDescent="0.25">
      <c r="B2" s="21" t="s">
        <v>95</v>
      </c>
      <c r="C2" s="21" t="s">
        <v>58</v>
      </c>
      <c r="D2" s="21" t="s">
        <v>96</v>
      </c>
      <c r="E2" s="21" t="s">
        <v>1</v>
      </c>
      <c r="F2" s="1"/>
    </row>
    <row r="3" spans="2:6" x14ac:dyDescent="0.25">
      <c r="B3" s="21">
        <v>1</v>
      </c>
      <c r="C3" s="21"/>
      <c r="D3" s="43" t="s">
        <v>97</v>
      </c>
      <c r="E3" s="22">
        <f>'Part 1'!M39</f>
        <v>3282</v>
      </c>
      <c r="F3" s="1"/>
    </row>
    <row r="4" spans="2:6" x14ac:dyDescent="0.25">
      <c r="B4" s="21"/>
      <c r="C4" s="21">
        <v>1</v>
      </c>
      <c r="D4" s="42" t="s">
        <v>74</v>
      </c>
      <c r="E4" s="22">
        <f>'Part 1'!M3</f>
        <v>804</v>
      </c>
      <c r="F4" s="1"/>
    </row>
    <row r="5" spans="2:6" x14ac:dyDescent="0.25">
      <c r="B5" s="21"/>
      <c r="C5" s="21">
        <v>2</v>
      </c>
      <c r="D5" s="42" t="s">
        <v>116</v>
      </c>
      <c r="E5" s="22">
        <f>'Part 1'!M26</f>
        <v>2478</v>
      </c>
      <c r="F5" s="23"/>
    </row>
    <row r="6" spans="2:6" x14ac:dyDescent="0.25">
      <c r="B6" s="21">
        <v>2</v>
      </c>
      <c r="C6" s="21"/>
      <c r="D6" s="43" t="s">
        <v>117</v>
      </c>
      <c r="E6" s="22">
        <f>'Part 2'!M39</f>
        <v>9351</v>
      </c>
      <c r="F6" s="23">
        <f>E6*(1+E$15)</f>
        <v>12357.72196560781</v>
      </c>
    </row>
    <row r="7" spans="2:6" x14ac:dyDescent="0.25">
      <c r="B7" s="21"/>
      <c r="C7" s="21">
        <v>1</v>
      </c>
      <c r="D7" s="42" t="s">
        <v>98</v>
      </c>
      <c r="E7" s="22">
        <f>'Part 2'!M3</f>
        <v>2307</v>
      </c>
      <c r="F7" s="23">
        <f>E7*(1+E$15)</f>
        <v>3048.7931317139578</v>
      </c>
    </row>
    <row r="8" spans="2:6" x14ac:dyDescent="0.25">
      <c r="B8" s="21"/>
      <c r="C8" s="21">
        <v>2</v>
      </c>
      <c r="D8" s="42" t="s">
        <v>103</v>
      </c>
      <c r="E8" s="22">
        <f>'Part 2'!M12</f>
        <v>1122</v>
      </c>
      <c r="F8" s="23">
        <f>E8*(1+E$15)</f>
        <v>1482.7680510546427</v>
      </c>
    </row>
    <row r="9" spans="2:6" x14ac:dyDescent="0.25">
      <c r="B9" s="21"/>
      <c r="C9" s="21">
        <v>3</v>
      </c>
      <c r="D9" s="42" t="s">
        <v>107</v>
      </c>
      <c r="E9" s="22">
        <f>'Part 2'!M20</f>
        <v>5922</v>
      </c>
      <c r="F9" s="23">
        <f>E9*(1+E$15)</f>
        <v>7826.1607828392107</v>
      </c>
    </row>
    <row r="10" spans="2:6" x14ac:dyDescent="0.25">
      <c r="B10" s="21">
        <v>3</v>
      </c>
      <c r="C10" s="21"/>
      <c r="D10" s="43" t="s">
        <v>133</v>
      </c>
      <c r="E10" s="22">
        <f>'Part 3'!K21</f>
        <v>1905</v>
      </c>
      <c r="F10" s="23">
        <f>E10*(1+E$15)</f>
        <v>2517.5339904270004</v>
      </c>
    </row>
    <row r="11" spans="2:6" x14ac:dyDescent="0.25">
      <c r="B11" s="1"/>
      <c r="C11" s="1"/>
      <c r="D11" s="24" t="s">
        <v>1</v>
      </c>
      <c r="E11" s="16">
        <f>E3+E6+E10</f>
        <v>14538</v>
      </c>
      <c r="F11" s="23">
        <f>F6+F10</f>
        <v>14875.255956034811</v>
      </c>
    </row>
    <row r="12" spans="2:6" x14ac:dyDescent="0.25">
      <c r="B12" s="1"/>
      <c r="C12" s="1"/>
      <c r="D12" s="24" t="s">
        <v>54</v>
      </c>
      <c r="E12" s="23">
        <f>E11*(1+'Billing Needs'!$F$6)</f>
        <v>14538</v>
      </c>
      <c r="F12" s="1"/>
    </row>
    <row r="13" spans="2:6" x14ac:dyDescent="0.25">
      <c r="B13" s="1"/>
      <c r="C13" s="1"/>
      <c r="D13" s="24" t="s">
        <v>55</v>
      </c>
      <c r="E13" s="23">
        <f>Summary!C9*E12</f>
        <v>337.25595603481145</v>
      </c>
      <c r="F13" s="1"/>
    </row>
    <row r="14" spans="2:6" x14ac:dyDescent="0.25">
      <c r="B14" s="1"/>
      <c r="C14" s="1"/>
      <c r="D14" s="24" t="s">
        <v>56</v>
      </c>
      <c r="E14" s="23">
        <f>(E13+E12)-E11</f>
        <v>337.25595603481088</v>
      </c>
      <c r="F14" s="1"/>
    </row>
    <row r="15" spans="2:6" x14ac:dyDescent="0.25">
      <c r="B15" s="1"/>
      <c r="C15" s="1"/>
      <c r="D15" s="24" t="s">
        <v>57</v>
      </c>
      <c r="E15" s="1">
        <f>(E14+E3)/(E11-E3)</f>
        <v>0.32154015245511824</v>
      </c>
      <c r="F15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5BE7-EE28-4F4D-9C68-8F441305FFFB}">
  <sheetPr>
    <tabColor theme="8" tint="0.79998168889431442"/>
  </sheetPr>
  <dimension ref="B2:E8"/>
  <sheetViews>
    <sheetView workbookViewId="0">
      <selection activeCell="G25" sqref="G25"/>
    </sheetView>
  </sheetViews>
  <sheetFormatPr defaultRowHeight="15" x14ac:dyDescent="0.25"/>
  <cols>
    <col min="2" max="2" width="6" bestFit="1" customWidth="1"/>
    <col min="4" max="4" width="40.42578125" bestFit="1" customWidth="1"/>
    <col min="5" max="5" width="12" bestFit="1" customWidth="1"/>
  </cols>
  <sheetData>
    <row r="2" spans="2:5" x14ac:dyDescent="0.25">
      <c r="B2" s="21" t="s">
        <v>95</v>
      </c>
      <c r="C2" s="21" t="s">
        <v>58</v>
      </c>
      <c r="D2" s="21" t="s">
        <v>96</v>
      </c>
      <c r="E2" s="21" t="s">
        <v>1</v>
      </c>
    </row>
    <row r="3" spans="2:5" x14ac:dyDescent="0.25">
      <c r="B3" s="21">
        <v>1</v>
      </c>
      <c r="C3" s="21"/>
      <c r="D3" s="43" t="s">
        <v>117</v>
      </c>
      <c r="E3" s="47">
        <f>Budget!F6</f>
        <v>12357.72196560781</v>
      </c>
    </row>
    <row r="4" spans="2:5" x14ac:dyDescent="0.25">
      <c r="B4" s="21"/>
      <c r="C4" s="21">
        <v>1</v>
      </c>
      <c r="D4" s="42" t="s">
        <v>98</v>
      </c>
      <c r="E4" s="47">
        <f>Budget!F7</f>
        <v>3048.7931317139578</v>
      </c>
    </row>
    <row r="5" spans="2:5" x14ac:dyDescent="0.25">
      <c r="B5" s="21"/>
      <c r="C5" s="21">
        <v>2</v>
      </c>
      <c r="D5" s="42" t="s">
        <v>103</v>
      </c>
      <c r="E5" s="47">
        <f>Budget!F8</f>
        <v>1482.7680510546427</v>
      </c>
    </row>
    <row r="6" spans="2:5" x14ac:dyDescent="0.25">
      <c r="B6" s="21"/>
      <c r="C6" s="21">
        <v>3</v>
      </c>
      <c r="D6" s="42" t="s">
        <v>107</v>
      </c>
      <c r="E6" s="47">
        <f>Budget!F9</f>
        <v>7826.1607828392107</v>
      </c>
    </row>
    <row r="7" spans="2:5" x14ac:dyDescent="0.25">
      <c r="B7" s="21">
        <v>2</v>
      </c>
      <c r="C7" s="21"/>
      <c r="D7" s="43" t="s">
        <v>133</v>
      </c>
      <c r="E7" s="47">
        <f>Budget!F10</f>
        <v>2517.5339904270004</v>
      </c>
    </row>
    <row r="8" spans="2:5" x14ac:dyDescent="0.25">
      <c r="B8" s="44" t="s">
        <v>1</v>
      </c>
      <c r="C8" s="45"/>
      <c r="D8" s="46"/>
      <c r="E8" s="23">
        <f>E3+E7</f>
        <v>14875.255956034811</v>
      </c>
    </row>
  </sheetData>
  <mergeCells count="1">
    <mergeCell ref="B8:D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86DD1-D26D-4249-AEE2-BDADEBF58511}">
  <sheetPr>
    <tabColor theme="5" tint="-0.249977111117893"/>
  </sheetPr>
  <dimension ref="B2:M39"/>
  <sheetViews>
    <sheetView workbookViewId="0">
      <selection activeCell="F3" sqref="F3"/>
    </sheetView>
  </sheetViews>
  <sheetFormatPr defaultRowHeight="15" x14ac:dyDescent="0.25"/>
  <cols>
    <col min="6" max="6" width="48.140625" bestFit="1" customWidth="1"/>
    <col min="7" max="7" width="9" bestFit="1" customWidth="1"/>
    <col min="8" max="8" width="9.42578125" bestFit="1" customWidth="1"/>
    <col min="9" max="9" width="8.42578125" bestFit="1" customWidth="1"/>
    <col min="10" max="10" width="10.7109375" bestFit="1" customWidth="1"/>
    <col min="11" max="11" width="11.140625" bestFit="1" customWidth="1"/>
    <col min="12" max="12" width="10.7109375" bestFit="1" customWidth="1"/>
    <col min="13" max="13" width="11" bestFit="1" customWidth="1"/>
  </cols>
  <sheetData>
    <row r="2" spans="2:13" x14ac:dyDescent="0.25">
      <c r="B2" s="25" t="s">
        <v>69</v>
      </c>
      <c r="C2" s="25" t="s">
        <v>70</v>
      </c>
      <c r="D2" s="25" t="s">
        <v>71</v>
      </c>
      <c r="E2" s="25" t="s">
        <v>77</v>
      </c>
      <c r="F2" s="1" t="s">
        <v>72</v>
      </c>
      <c r="G2" s="1" t="s">
        <v>73</v>
      </c>
      <c r="H2" s="1" t="s">
        <v>29</v>
      </c>
      <c r="I2" s="1" t="s">
        <v>30</v>
      </c>
      <c r="J2" s="1" t="s">
        <v>81</v>
      </c>
      <c r="K2" s="1" t="s">
        <v>59</v>
      </c>
      <c r="L2" s="1" t="s">
        <v>60</v>
      </c>
      <c r="M2" s="1" t="s">
        <v>1</v>
      </c>
    </row>
    <row r="3" spans="2:13" ht="15.75" x14ac:dyDescent="0.25">
      <c r="B3" s="26" t="s">
        <v>61</v>
      </c>
      <c r="C3" s="25"/>
      <c r="D3" s="25"/>
      <c r="E3" s="25"/>
      <c r="F3" s="27" t="s">
        <v>74</v>
      </c>
      <c r="G3" s="28"/>
      <c r="H3" s="15"/>
      <c r="I3" s="13"/>
      <c r="J3" s="13"/>
      <c r="K3" s="13"/>
      <c r="L3" s="13"/>
      <c r="M3" s="13">
        <f>L4+L9+L17</f>
        <v>804</v>
      </c>
    </row>
    <row r="4" spans="2:13" x14ac:dyDescent="0.25">
      <c r="B4" s="25"/>
      <c r="C4" s="25" t="s">
        <v>61</v>
      </c>
      <c r="D4" s="25"/>
      <c r="E4" s="25"/>
      <c r="F4" s="29" t="s">
        <v>75</v>
      </c>
      <c r="G4" s="28"/>
      <c r="H4" s="15"/>
      <c r="I4" s="13"/>
      <c r="J4" s="13"/>
      <c r="K4" s="13"/>
      <c r="L4" s="13">
        <f>K5</f>
        <v>0</v>
      </c>
      <c r="M4" s="13"/>
    </row>
    <row r="5" spans="2:13" x14ac:dyDescent="0.25">
      <c r="B5" s="25"/>
      <c r="C5" s="25"/>
      <c r="D5" s="25" t="s">
        <v>61</v>
      </c>
      <c r="E5" s="25"/>
      <c r="F5" s="35" t="s">
        <v>76</v>
      </c>
      <c r="G5" s="28"/>
      <c r="H5" s="15"/>
      <c r="I5" s="13"/>
      <c r="J5" s="13"/>
      <c r="K5" s="13">
        <f>J6</f>
        <v>0</v>
      </c>
      <c r="M5" s="13"/>
    </row>
    <row r="6" spans="2:13" x14ac:dyDescent="0.25">
      <c r="B6" s="25"/>
      <c r="C6" s="25"/>
      <c r="D6" s="25"/>
      <c r="E6" s="25" t="s">
        <v>61</v>
      </c>
      <c r="F6" s="38" t="s">
        <v>2</v>
      </c>
      <c r="G6" s="28">
        <v>6</v>
      </c>
      <c r="H6" s="15" t="s">
        <v>78</v>
      </c>
      <c r="I6" s="13">
        <f>'Price per Hour'!C3</f>
        <v>0</v>
      </c>
      <c r="J6" s="13">
        <f>I6*G6</f>
        <v>0</v>
      </c>
      <c r="L6" s="13"/>
      <c r="M6" s="13"/>
    </row>
    <row r="7" spans="2:13" x14ac:dyDescent="0.25">
      <c r="B7" s="25"/>
      <c r="C7" s="25"/>
      <c r="D7" s="25" t="s">
        <v>62</v>
      </c>
      <c r="E7" s="25"/>
      <c r="F7" s="35" t="s">
        <v>79</v>
      </c>
      <c r="G7" s="28"/>
      <c r="H7" s="15"/>
      <c r="I7" s="13"/>
      <c r="J7" s="13"/>
      <c r="K7" s="13"/>
      <c r="L7" s="13"/>
      <c r="M7" s="13"/>
    </row>
    <row r="8" spans="2:13" x14ac:dyDescent="0.25">
      <c r="B8" s="25"/>
      <c r="C8" s="25"/>
      <c r="D8" s="25"/>
      <c r="E8" s="25" t="s">
        <v>61</v>
      </c>
      <c r="F8" s="38" t="s">
        <v>2</v>
      </c>
      <c r="G8" s="28">
        <v>3</v>
      </c>
      <c r="H8" s="15" t="s">
        <v>78</v>
      </c>
      <c r="I8" s="13">
        <f>'Price per Hour'!C3</f>
        <v>0</v>
      </c>
      <c r="J8" s="13">
        <f>I8*G8</f>
        <v>0</v>
      </c>
      <c r="L8" s="13"/>
      <c r="M8" s="13"/>
    </row>
    <row r="9" spans="2:13" x14ac:dyDescent="0.25">
      <c r="B9" s="25"/>
      <c r="C9" s="25" t="s">
        <v>62</v>
      </c>
      <c r="D9" s="25"/>
      <c r="E9" s="25"/>
      <c r="F9" s="29" t="s">
        <v>80</v>
      </c>
      <c r="G9" s="28"/>
      <c r="H9" s="15"/>
      <c r="I9" s="13"/>
      <c r="J9" s="13"/>
      <c r="K9" s="13"/>
      <c r="L9" s="13">
        <f>K10+K12+K15</f>
        <v>804</v>
      </c>
      <c r="M9" s="13"/>
    </row>
    <row r="10" spans="2:13" x14ac:dyDescent="0.25">
      <c r="B10" s="25"/>
      <c r="C10" s="25"/>
      <c r="D10" s="25" t="s">
        <v>61</v>
      </c>
      <c r="E10" s="25"/>
      <c r="F10" s="36" t="s">
        <v>82</v>
      </c>
      <c r="G10" s="28"/>
      <c r="H10" s="15"/>
      <c r="I10" s="13"/>
      <c r="J10" s="13"/>
      <c r="K10" s="13">
        <f>J11</f>
        <v>168</v>
      </c>
      <c r="L10" s="13"/>
      <c r="M10" s="13"/>
    </row>
    <row r="11" spans="2:13" x14ac:dyDescent="0.25">
      <c r="B11" s="25"/>
      <c r="C11" s="25"/>
      <c r="D11" s="25"/>
      <c r="E11" s="25" t="s">
        <v>61</v>
      </c>
      <c r="F11" s="38" t="s">
        <v>11</v>
      </c>
      <c r="G11" s="28">
        <v>3</v>
      </c>
      <c r="H11" s="15" t="s">
        <v>78</v>
      </c>
      <c r="I11" s="13">
        <f>'Price per Hour'!C4</f>
        <v>56</v>
      </c>
      <c r="J11" s="13">
        <f>I11*G11</f>
        <v>168</v>
      </c>
      <c r="K11" s="13"/>
      <c r="L11" s="13"/>
      <c r="M11" s="13"/>
    </row>
    <row r="12" spans="2:13" x14ac:dyDescent="0.25">
      <c r="B12" s="25"/>
      <c r="C12" s="25"/>
      <c r="D12" s="25" t="s">
        <v>62</v>
      </c>
      <c r="E12" s="25"/>
      <c r="F12" s="36" t="s">
        <v>83</v>
      </c>
      <c r="G12" s="28"/>
      <c r="H12" s="15"/>
      <c r="I12" s="13"/>
      <c r="J12" s="13"/>
      <c r="K12" s="13">
        <f>SUM(J13:J14)</f>
        <v>576</v>
      </c>
      <c r="L12" s="13"/>
      <c r="M12" s="13"/>
    </row>
    <row r="13" spans="2:13" x14ac:dyDescent="0.25">
      <c r="B13" s="25"/>
      <c r="C13" s="25"/>
      <c r="D13" s="25"/>
      <c r="E13" s="25" t="s">
        <v>61</v>
      </c>
      <c r="F13" s="38" t="s">
        <v>11</v>
      </c>
      <c r="G13" s="28">
        <v>6</v>
      </c>
      <c r="H13" s="15" t="s">
        <v>78</v>
      </c>
      <c r="I13" s="13">
        <f>'Price per Hour'!C4</f>
        <v>56</v>
      </c>
      <c r="J13" s="13">
        <f>I13*G13</f>
        <v>336</v>
      </c>
      <c r="K13" s="13"/>
      <c r="L13" s="13"/>
      <c r="M13" s="13"/>
    </row>
    <row r="14" spans="2:13" x14ac:dyDescent="0.25">
      <c r="B14" s="25"/>
      <c r="C14" s="25"/>
      <c r="D14" s="25"/>
      <c r="E14" s="25" t="s">
        <v>62</v>
      </c>
      <c r="F14" s="38" t="s">
        <v>12</v>
      </c>
      <c r="G14" s="28">
        <v>6</v>
      </c>
      <c r="H14" s="15" t="s">
        <v>78</v>
      </c>
      <c r="I14" s="13">
        <f>'Price per Hour'!C5</f>
        <v>40</v>
      </c>
      <c r="J14" s="13">
        <f>I14*G14</f>
        <v>240</v>
      </c>
      <c r="K14" s="13"/>
      <c r="L14" s="13"/>
      <c r="M14" s="13"/>
    </row>
    <row r="15" spans="2:13" x14ac:dyDescent="0.25">
      <c r="B15" s="25"/>
      <c r="C15" s="25"/>
      <c r="D15" s="25" t="s">
        <v>63</v>
      </c>
      <c r="E15" s="25"/>
      <c r="F15" s="35" t="s">
        <v>84</v>
      </c>
      <c r="G15" s="28"/>
      <c r="H15" s="15"/>
      <c r="I15" s="13"/>
      <c r="J15" s="13"/>
      <c r="K15" s="13">
        <f>J16</f>
        <v>60</v>
      </c>
      <c r="L15" s="13"/>
      <c r="M15" s="13"/>
    </row>
    <row r="16" spans="2:13" x14ac:dyDescent="0.25">
      <c r="B16" s="25"/>
      <c r="C16" s="25"/>
      <c r="D16" s="25"/>
      <c r="E16" s="25" t="s">
        <v>61</v>
      </c>
      <c r="F16" s="38" t="s">
        <v>12</v>
      </c>
      <c r="G16" s="28">
        <v>1.5</v>
      </c>
      <c r="H16" s="15" t="s">
        <v>78</v>
      </c>
      <c r="I16" s="13">
        <f>'Price per Hour'!C5</f>
        <v>40</v>
      </c>
      <c r="J16" s="13">
        <f>I16*G16</f>
        <v>60</v>
      </c>
      <c r="K16" s="13"/>
      <c r="L16" s="13"/>
      <c r="M16" s="13"/>
    </row>
    <row r="17" spans="2:13" x14ac:dyDescent="0.25">
      <c r="B17" s="25"/>
      <c r="C17" s="25" t="s">
        <v>63</v>
      </c>
      <c r="D17" s="25"/>
      <c r="E17" s="25"/>
      <c r="F17" s="29" t="s">
        <v>85</v>
      </c>
      <c r="G17" s="28"/>
      <c r="H17" s="15"/>
      <c r="I17" s="13"/>
      <c r="J17" s="13"/>
      <c r="K17" s="13"/>
      <c r="L17" s="13">
        <f>K18+K20+K22+K24</f>
        <v>0</v>
      </c>
      <c r="M17" s="13"/>
    </row>
    <row r="18" spans="2:13" x14ac:dyDescent="0.25">
      <c r="B18" s="25"/>
      <c r="C18" s="25"/>
      <c r="D18" s="25" t="s">
        <v>61</v>
      </c>
      <c r="E18" s="25"/>
      <c r="F18" s="35" t="s">
        <v>65</v>
      </c>
      <c r="G18" s="28"/>
      <c r="H18" s="15"/>
      <c r="I18" s="13"/>
      <c r="J18" s="13"/>
      <c r="K18" s="13">
        <f>J19</f>
        <v>0</v>
      </c>
      <c r="L18" s="13"/>
      <c r="M18" s="13"/>
    </row>
    <row r="19" spans="2:13" x14ac:dyDescent="0.25">
      <c r="B19" s="25"/>
      <c r="C19" s="25"/>
      <c r="D19" s="25"/>
      <c r="E19" s="25" t="s">
        <v>61</v>
      </c>
      <c r="F19" s="38" t="s">
        <v>2</v>
      </c>
      <c r="G19" s="28">
        <v>3</v>
      </c>
      <c r="H19" s="15" t="s">
        <v>78</v>
      </c>
      <c r="I19" s="13">
        <f>'Price per Hour'!C3</f>
        <v>0</v>
      </c>
      <c r="J19" s="13">
        <f>I19*G19</f>
        <v>0</v>
      </c>
      <c r="K19" s="13"/>
      <c r="L19" s="13"/>
      <c r="M19" s="13"/>
    </row>
    <row r="20" spans="2:13" x14ac:dyDescent="0.25">
      <c r="B20" s="25"/>
      <c r="C20" s="25"/>
      <c r="D20" s="25" t="s">
        <v>62</v>
      </c>
      <c r="E20" s="25"/>
      <c r="F20" s="35" t="s">
        <v>66</v>
      </c>
      <c r="G20" s="28"/>
      <c r="H20" s="15"/>
      <c r="I20" s="13"/>
      <c r="J20" s="13"/>
      <c r="K20" s="13">
        <f t="shared" ref="K20:K24" si="0">J21</f>
        <v>0</v>
      </c>
      <c r="L20" s="13"/>
      <c r="M20" s="13"/>
    </row>
    <row r="21" spans="2:13" x14ac:dyDescent="0.25">
      <c r="B21" s="25"/>
      <c r="C21" s="25"/>
      <c r="D21" s="25"/>
      <c r="E21" s="25" t="s">
        <v>61</v>
      </c>
      <c r="F21" s="38" t="s">
        <v>2</v>
      </c>
      <c r="G21" s="28">
        <v>18</v>
      </c>
      <c r="H21" s="15" t="s">
        <v>78</v>
      </c>
      <c r="I21" s="13">
        <f>'Price per Hour'!C3</f>
        <v>0</v>
      </c>
      <c r="J21" s="13">
        <f>I21*G21</f>
        <v>0</v>
      </c>
      <c r="K21" s="13"/>
      <c r="L21" s="13"/>
      <c r="M21" s="13"/>
    </row>
    <row r="22" spans="2:13" x14ac:dyDescent="0.25">
      <c r="B22" s="25"/>
      <c r="C22" s="25"/>
      <c r="D22" s="25" t="s">
        <v>63</v>
      </c>
      <c r="E22" s="25"/>
      <c r="F22" s="35" t="s">
        <v>86</v>
      </c>
      <c r="G22" s="28"/>
      <c r="H22" s="15"/>
      <c r="I22" s="13"/>
      <c r="J22" s="13"/>
      <c r="K22" s="13">
        <f t="shared" si="0"/>
        <v>0</v>
      </c>
      <c r="L22" s="13"/>
      <c r="M22" s="13"/>
    </row>
    <row r="23" spans="2:13" x14ac:dyDescent="0.25">
      <c r="B23" s="25"/>
      <c r="C23" s="25"/>
      <c r="D23" s="25"/>
      <c r="E23" s="25" t="s">
        <v>61</v>
      </c>
      <c r="F23" s="38" t="s">
        <v>2</v>
      </c>
      <c r="G23" s="28">
        <v>18</v>
      </c>
      <c r="H23" s="15" t="s">
        <v>78</v>
      </c>
      <c r="I23" s="13">
        <f>'Price per Hour'!C3</f>
        <v>0</v>
      </c>
      <c r="J23" s="13">
        <f>I23*G23</f>
        <v>0</v>
      </c>
      <c r="K23" s="13"/>
      <c r="L23" s="13"/>
      <c r="M23" s="13"/>
    </row>
    <row r="24" spans="2:13" x14ac:dyDescent="0.25">
      <c r="B24" s="25"/>
      <c r="C24" s="25"/>
      <c r="D24" s="25" t="s">
        <v>64</v>
      </c>
      <c r="E24" s="25"/>
      <c r="F24" s="35" t="s">
        <v>87</v>
      </c>
      <c r="G24" s="28"/>
      <c r="H24" s="15"/>
      <c r="I24" s="13"/>
      <c r="J24" s="13"/>
      <c r="K24" s="13">
        <f t="shared" si="0"/>
        <v>0</v>
      </c>
      <c r="L24" s="13"/>
      <c r="M24" s="13"/>
    </row>
    <row r="25" spans="2:13" x14ac:dyDescent="0.25">
      <c r="B25" s="25"/>
      <c r="C25" s="25"/>
      <c r="D25" s="25"/>
      <c r="E25" s="25" t="s">
        <v>61</v>
      </c>
      <c r="F25" s="38" t="s">
        <v>2</v>
      </c>
      <c r="G25" s="28">
        <v>18</v>
      </c>
      <c r="H25" s="15" t="s">
        <v>78</v>
      </c>
      <c r="I25" s="13">
        <f>'Price per Hour'!C3</f>
        <v>0</v>
      </c>
      <c r="J25" s="13">
        <f>I25*G25</f>
        <v>0</v>
      </c>
      <c r="K25" s="13"/>
      <c r="L25" s="13"/>
      <c r="M25" s="13"/>
    </row>
    <row r="26" spans="2:13" ht="15.75" x14ac:dyDescent="0.25">
      <c r="B26" s="25" t="s">
        <v>62</v>
      </c>
      <c r="C26" s="25"/>
      <c r="D26" s="25"/>
      <c r="E26" s="25"/>
      <c r="F26" s="27" t="s">
        <v>94</v>
      </c>
      <c r="G26" s="28"/>
      <c r="H26" s="15"/>
      <c r="I26" s="13"/>
      <c r="J26" s="13"/>
      <c r="K26" s="13"/>
      <c r="L26" s="13"/>
      <c r="M26" s="13">
        <f>L27+L30+L33+L36</f>
        <v>2478</v>
      </c>
    </row>
    <row r="27" spans="2:13" x14ac:dyDescent="0.25">
      <c r="B27" s="25"/>
      <c r="C27" s="25" t="s">
        <v>61</v>
      </c>
      <c r="D27" s="25"/>
      <c r="E27" s="25"/>
      <c r="F27" s="29" t="s">
        <v>91</v>
      </c>
      <c r="G27" s="28"/>
      <c r="H27" s="15"/>
      <c r="I27" s="13"/>
      <c r="J27" s="13"/>
      <c r="K27" s="13"/>
      <c r="L27" s="13">
        <f>K28+K29</f>
        <v>1122</v>
      </c>
      <c r="M27" s="13"/>
    </row>
    <row r="28" spans="2:13" x14ac:dyDescent="0.25">
      <c r="B28" s="25"/>
      <c r="C28" s="25"/>
      <c r="D28" s="25" t="s">
        <v>61</v>
      </c>
      <c r="E28" s="25"/>
      <c r="F28" s="37" t="s">
        <v>92</v>
      </c>
      <c r="G28" s="28">
        <v>33</v>
      </c>
      <c r="H28" s="15" t="s">
        <v>78</v>
      </c>
      <c r="I28" s="13">
        <f>'Price per Hour'!C6</f>
        <v>17</v>
      </c>
      <c r="J28" s="13"/>
      <c r="K28" s="13">
        <f>G28*I28</f>
        <v>561</v>
      </c>
      <c r="L28" s="13"/>
      <c r="M28" s="13"/>
    </row>
    <row r="29" spans="2:13" x14ac:dyDescent="0.25">
      <c r="B29" s="25"/>
      <c r="C29" s="25"/>
      <c r="D29" s="25" t="s">
        <v>62</v>
      </c>
      <c r="E29" s="25"/>
      <c r="F29" s="37" t="s">
        <v>93</v>
      </c>
      <c r="G29" s="28">
        <v>33</v>
      </c>
      <c r="H29" s="15" t="s">
        <v>78</v>
      </c>
      <c r="I29" s="13">
        <f>'Price per Hour'!C7</f>
        <v>17</v>
      </c>
      <c r="J29" s="13"/>
      <c r="K29" s="13">
        <f t="shared" ref="K29:K37" si="1">G29*I29</f>
        <v>561</v>
      </c>
      <c r="L29" s="13"/>
      <c r="M29" s="13"/>
    </row>
    <row r="30" spans="2:13" x14ac:dyDescent="0.25">
      <c r="B30" s="25"/>
      <c r="C30" s="25" t="s">
        <v>62</v>
      </c>
      <c r="D30" s="25"/>
      <c r="E30" s="25"/>
      <c r="F30" s="29" t="s">
        <v>88</v>
      </c>
      <c r="G30" s="28"/>
      <c r="H30" s="15"/>
      <c r="I30" s="13"/>
      <c r="J30" s="13"/>
      <c r="K30" s="13"/>
      <c r="L30" s="13">
        <f>K31+K32</f>
        <v>510</v>
      </c>
      <c r="M30" s="13"/>
    </row>
    <row r="31" spans="2:13" x14ac:dyDescent="0.25">
      <c r="B31" s="25"/>
      <c r="C31" s="25"/>
      <c r="D31" s="25" t="s">
        <v>61</v>
      </c>
      <c r="E31" s="25"/>
      <c r="F31" s="37" t="s">
        <v>92</v>
      </c>
      <c r="G31" s="28">
        <v>15</v>
      </c>
      <c r="H31" s="15" t="s">
        <v>78</v>
      </c>
      <c r="I31" s="13">
        <f>'Price per Hour'!C6</f>
        <v>17</v>
      </c>
      <c r="J31" s="13"/>
      <c r="K31" s="13">
        <f t="shared" si="1"/>
        <v>255</v>
      </c>
      <c r="L31" s="13"/>
      <c r="M31" s="13"/>
    </row>
    <row r="32" spans="2:13" x14ac:dyDescent="0.25">
      <c r="B32" s="25"/>
      <c r="C32" s="25"/>
      <c r="D32" s="25" t="s">
        <v>62</v>
      </c>
      <c r="E32" s="25"/>
      <c r="F32" s="37" t="s">
        <v>93</v>
      </c>
      <c r="G32" s="28">
        <v>15</v>
      </c>
      <c r="H32" s="15" t="s">
        <v>78</v>
      </c>
      <c r="I32" s="13">
        <f>'Price per Hour'!C7</f>
        <v>17</v>
      </c>
      <c r="J32" s="13"/>
      <c r="K32" s="13">
        <f t="shared" si="1"/>
        <v>255</v>
      </c>
      <c r="L32" s="13"/>
      <c r="M32" s="13"/>
    </row>
    <row r="33" spans="2:13" x14ac:dyDescent="0.25">
      <c r="B33" s="25"/>
      <c r="C33" s="25" t="s">
        <v>63</v>
      </c>
      <c r="D33" s="25"/>
      <c r="E33" s="25"/>
      <c r="F33" s="29" t="s">
        <v>89</v>
      </c>
      <c r="G33" s="28"/>
      <c r="H33" s="15"/>
      <c r="I33" s="13"/>
      <c r="J33" s="13"/>
      <c r="K33" s="13"/>
      <c r="L33" s="13">
        <f>K34+K35</f>
        <v>510</v>
      </c>
      <c r="M33" s="13"/>
    </row>
    <row r="34" spans="2:13" x14ac:dyDescent="0.25">
      <c r="B34" s="25"/>
      <c r="C34" s="25"/>
      <c r="D34" s="25" t="s">
        <v>61</v>
      </c>
      <c r="E34" s="25"/>
      <c r="F34" s="37" t="s">
        <v>92</v>
      </c>
      <c r="G34" s="28">
        <v>15</v>
      </c>
      <c r="H34" s="15" t="s">
        <v>78</v>
      </c>
      <c r="I34" s="13">
        <f>'Price per Hour'!C6</f>
        <v>17</v>
      </c>
      <c r="J34" s="13"/>
      <c r="K34" s="13">
        <f t="shared" si="1"/>
        <v>255</v>
      </c>
      <c r="L34" s="13"/>
      <c r="M34" s="13"/>
    </row>
    <row r="35" spans="2:13" x14ac:dyDescent="0.25">
      <c r="B35" s="25"/>
      <c r="C35" s="25"/>
      <c r="D35" s="25" t="s">
        <v>62</v>
      </c>
      <c r="E35" s="25"/>
      <c r="F35" s="37" t="s">
        <v>93</v>
      </c>
      <c r="G35" s="28">
        <v>15</v>
      </c>
      <c r="H35" s="15" t="s">
        <v>78</v>
      </c>
      <c r="I35" s="13">
        <f>'Price per Hour'!C7</f>
        <v>17</v>
      </c>
      <c r="J35" s="13"/>
      <c r="K35" s="13">
        <f t="shared" si="1"/>
        <v>255</v>
      </c>
      <c r="L35" s="13"/>
      <c r="M35" s="13"/>
    </row>
    <row r="36" spans="2:13" x14ac:dyDescent="0.25">
      <c r="B36" s="25"/>
      <c r="C36" s="25" t="s">
        <v>64</v>
      </c>
      <c r="D36" s="25"/>
      <c r="E36" s="25"/>
      <c r="F36" s="29" t="s">
        <v>90</v>
      </c>
      <c r="G36" s="28"/>
      <c r="H36" s="15"/>
      <c r="I36" s="13"/>
      <c r="J36" s="13"/>
      <c r="K36" s="13"/>
      <c r="L36" s="13">
        <f>K37</f>
        <v>336</v>
      </c>
      <c r="M36" s="13"/>
    </row>
    <row r="37" spans="2:13" x14ac:dyDescent="0.25">
      <c r="B37" s="25"/>
      <c r="C37" s="25"/>
      <c r="D37" s="25" t="s">
        <v>61</v>
      </c>
      <c r="E37" s="25"/>
      <c r="F37" s="30" t="s">
        <v>11</v>
      </c>
      <c r="G37" s="28">
        <v>6</v>
      </c>
      <c r="H37" s="15" t="s">
        <v>78</v>
      </c>
      <c r="I37" s="13">
        <f>'Price per Hour'!C4</f>
        <v>56</v>
      </c>
      <c r="J37" s="13"/>
      <c r="K37" s="13">
        <f t="shared" si="1"/>
        <v>336</v>
      </c>
      <c r="L37" s="13"/>
      <c r="M37" s="13"/>
    </row>
    <row r="39" spans="2:13" x14ac:dyDescent="0.25">
      <c r="B39" s="32" t="s">
        <v>7</v>
      </c>
      <c r="C39" s="33"/>
      <c r="D39" s="33"/>
      <c r="E39" s="33"/>
      <c r="F39" s="33"/>
      <c r="G39" s="33"/>
      <c r="H39" s="33"/>
      <c r="I39" s="33"/>
      <c r="J39" s="33"/>
      <c r="K39" s="33"/>
      <c r="L39" s="34"/>
      <c r="M39" s="13">
        <f>SUM(M3:M37)</f>
        <v>3282</v>
      </c>
    </row>
  </sheetData>
  <mergeCells count="1">
    <mergeCell ref="B39:L39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83A9-2F31-4925-9ABE-5A5035666904}">
  <sheetPr>
    <tabColor theme="9" tint="0.39997558519241921"/>
  </sheetPr>
  <dimension ref="B2:M39"/>
  <sheetViews>
    <sheetView workbookViewId="0">
      <selection activeCell="M40" sqref="M40"/>
    </sheetView>
  </sheetViews>
  <sheetFormatPr defaultRowHeight="15" x14ac:dyDescent="0.25"/>
  <cols>
    <col min="2" max="5" width="7.140625" bestFit="1" customWidth="1"/>
    <col min="6" max="6" width="36.140625" bestFit="1" customWidth="1"/>
    <col min="7" max="7" width="8.42578125" bestFit="1" customWidth="1"/>
    <col min="8" max="8" width="6.28515625" bestFit="1" customWidth="1"/>
    <col min="9" max="9" width="8.42578125" bestFit="1" customWidth="1"/>
    <col min="10" max="10" width="10.7109375" bestFit="1" customWidth="1"/>
    <col min="11" max="11" width="11.140625" bestFit="1" customWidth="1"/>
    <col min="12" max="13" width="11" bestFit="1" customWidth="1"/>
  </cols>
  <sheetData>
    <row r="2" spans="2:13" x14ac:dyDescent="0.25">
      <c r="B2" s="25" t="s">
        <v>69</v>
      </c>
      <c r="C2" s="25" t="s">
        <v>70</v>
      </c>
      <c r="D2" s="25" t="s">
        <v>71</v>
      </c>
      <c r="E2" s="25" t="s">
        <v>77</v>
      </c>
      <c r="F2" s="1" t="s">
        <v>72</v>
      </c>
      <c r="G2" s="1" t="s">
        <v>73</v>
      </c>
      <c r="H2" s="1" t="s">
        <v>29</v>
      </c>
      <c r="I2" s="1" t="s">
        <v>30</v>
      </c>
      <c r="J2" s="1" t="s">
        <v>81</v>
      </c>
      <c r="K2" s="1" t="s">
        <v>59</v>
      </c>
      <c r="L2" s="1" t="s">
        <v>60</v>
      </c>
      <c r="M2" s="1" t="s">
        <v>1</v>
      </c>
    </row>
    <row r="3" spans="2:13" ht="15.75" x14ac:dyDescent="0.25">
      <c r="B3" s="26" t="s">
        <v>61</v>
      </c>
      <c r="C3" s="25"/>
      <c r="D3" s="25"/>
      <c r="E3" s="25"/>
      <c r="F3" s="27" t="s">
        <v>98</v>
      </c>
      <c r="G3" s="28"/>
      <c r="H3" s="15"/>
      <c r="I3" s="13"/>
      <c r="J3" s="13"/>
      <c r="K3" s="13"/>
      <c r="L3" s="13"/>
      <c r="M3" s="13">
        <f>L4+L6+L8+L10</f>
        <v>2307</v>
      </c>
    </row>
    <row r="4" spans="2:13" x14ac:dyDescent="0.25">
      <c r="B4" s="25"/>
      <c r="C4" s="25" t="s">
        <v>61</v>
      </c>
      <c r="D4" s="25"/>
      <c r="E4" s="25"/>
      <c r="F4" s="29" t="s">
        <v>99</v>
      </c>
      <c r="G4" s="28"/>
      <c r="H4" s="15"/>
      <c r="I4" s="13"/>
      <c r="J4" s="13"/>
      <c r="K4" s="13"/>
      <c r="L4" s="13">
        <f>K5</f>
        <v>1680</v>
      </c>
      <c r="M4" s="13"/>
    </row>
    <row r="5" spans="2:13" x14ac:dyDescent="0.25">
      <c r="B5" s="25"/>
      <c r="C5" s="25"/>
      <c r="D5" s="25" t="s">
        <v>61</v>
      </c>
      <c r="E5" s="25"/>
      <c r="F5" s="37" t="s">
        <v>11</v>
      </c>
      <c r="G5" s="28">
        <v>30</v>
      </c>
      <c r="H5" s="15" t="s">
        <v>78</v>
      </c>
      <c r="I5" s="13">
        <f>'Price per Hour'!C$4</f>
        <v>56</v>
      </c>
      <c r="J5" s="13"/>
      <c r="K5" s="13">
        <f>I5*G5</f>
        <v>1680</v>
      </c>
      <c r="L5" s="13"/>
      <c r="M5" s="13"/>
    </row>
    <row r="6" spans="2:13" x14ac:dyDescent="0.25">
      <c r="B6" s="25"/>
      <c r="C6" s="25" t="s">
        <v>62</v>
      </c>
      <c r="D6" s="25"/>
      <c r="E6" s="25"/>
      <c r="F6" s="29" t="s">
        <v>100</v>
      </c>
      <c r="G6" s="28"/>
      <c r="H6" s="15"/>
      <c r="I6" s="13"/>
      <c r="J6" s="13"/>
      <c r="K6" s="13"/>
      <c r="L6" s="13">
        <f t="shared" ref="L5:L19" si="0">K7</f>
        <v>240</v>
      </c>
      <c r="M6" s="13"/>
    </row>
    <row r="7" spans="2:13" x14ac:dyDescent="0.25">
      <c r="B7" s="25"/>
      <c r="C7" s="25"/>
      <c r="D7" s="25" t="s">
        <v>61</v>
      </c>
      <c r="E7" s="25"/>
      <c r="F7" s="37" t="s">
        <v>12</v>
      </c>
      <c r="G7" s="28">
        <v>6</v>
      </c>
      <c r="H7" s="15" t="s">
        <v>78</v>
      </c>
      <c r="I7" s="13">
        <f>'Price per Hour'!C$5</f>
        <v>40</v>
      </c>
      <c r="J7" s="13"/>
      <c r="K7" s="13">
        <f t="shared" ref="K6:K19" si="1">I7*G7</f>
        <v>240</v>
      </c>
      <c r="L7" s="13"/>
      <c r="M7" s="13"/>
    </row>
    <row r="8" spans="2:13" x14ac:dyDescent="0.25">
      <c r="B8" s="25"/>
      <c r="C8" s="25" t="s">
        <v>63</v>
      </c>
      <c r="D8" s="25"/>
      <c r="E8" s="25"/>
      <c r="F8" s="29" t="s">
        <v>101</v>
      </c>
      <c r="G8" s="28"/>
      <c r="H8" s="15"/>
      <c r="I8" s="13"/>
      <c r="J8" s="13"/>
      <c r="K8" s="13"/>
      <c r="L8" s="13">
        <f t="shared" si="0"/>
        <v>51</v>
      </c>
      <c r="M8" s="13"/>
    </row>
    <row r="9" spans="2:13" x14ac:dyDescent="0.25">
      <c r="B9" s="25"/>
      <c r="C9" s="25"/>
      <c r="D9" s="25" t="s">
        <v>61</v>
      </c>
      <c r="E9" s="25"/>
      <c r="F9" s="37" t="s">
        <v>93</v>
      </c>
      <c r="G9" s="28">
        <v>3</v>
      </c>
      <c r="H9" s="15" t="s">
        <v>78</v>
      </c>
      <c r="I9" s="13">
        <f>'Price per Hour'!C$7</f>
        <v>17</v>
      </c>
      <c r="J9" s="13"/>
      <c r="K9" s="13">
        <f t="shared" si="1"/>
        <v>51</v>
      </c>
      <c r="L9" s="13"/>
      <c r="M9" s="13"/>
    </row>
    <row r="10" spans="2:13" x14ac:dyDescent="0.25">
      <c r="B10" s="25"/>
      <c r="C10" s="25" t="s">
        <v>64</v>
      </c>
      <c r="D10" s="25"/>
      <c r="E10" s="25"/>
      <c r="F10" s="29" t="s">
        <v>102</v>
      </c>
      <c r="G10" s="28"/>
      <c r="H10" s="15"/>
      <c r="I10" s="13"/>
      <c r="J10" s="13"/>
      <c r="K10" s="13"/>
      <c r="L10" s="13">
        <f t="shared" si="0"/>
        <v>336</v>
      </c>
      <c r="M10" s="13"/>
    </row>
    <row r="11" spans="2:13" x14ac:dyDescent="0.25">
      <c r="B11" s="25"/>
      <c r="C11" s="25"/>
      <c r="D11" s="25" t="s">
        <v>61</v>
      </c>
      <c r="E11" s="25"/>
      <c r="F11" s="37" t="s">
        <v>11</v>
      </c>
      <c r="G11" s="28">
        <v>6</v>
      </c>
      <c r="H11" s="15" t="s">
        <v>78</v>
      </c>
      <c r="I11" s="13">
        <f>'Price per Hour'!C$4</f>
        <v>56</v>
      </c>
      <c r="J11" s="13"/>
      <c r="K11" s="13">
        <f t="shared" si="1"/>
        <v>336</v>
      </c>
      <c r="L11" s="13"/>
      <c r="M11" s="13"/>
    </row>
    <row r="12" spans="2:13" x14ac:dyDescent="0.25">
      <c r="B12" s="25" t="s">
        <v>62</v>
      </c>
      <c r="C12" s="25"/>
      <c r="D12" s="25"/>
      <c r="E12" s="25"/>
      <c r="F12" s="40" t="s">
        <v>103</v>
      </c>
      <c r="G12" s="28"/>
      <c r="H12" s="15"/>
      <c r="I12" s="13"/>
      <c r="J12" s="13"/>
      <c r="K12" s="13"/>
      <c r="L12" s="13"/>
      <c r="M12" s="13">
        <f>L13+L16+L17</f>
        <v>1122</v>
      </c>
    </row>
    <row r="13" spans="2:13" x14ac:dyDescent="0.25">
      <c r="B13" s="25"/>
      <c r="C13" s="25" t="s">
        <v>61</v>
      </c>
      <c r="D13" s="25"/>
      <c r="E13" s="25"/>
      <c r="F13" s="29" t="s">
        <v>104</v>
      </c>
      <c r="G13" s="28"/>
      <c r="H13" s="15"/>
      <c r="I13" s="13"/>
      <c r="J13" s="13"/>
      <c r="K13" s="13"/>
      <c r="L13" s="13">
        <f t="shared" si="0"/>
        <v>102</v>
      </c>
      <c r="M13" s="13"/>
    </row>
    <row r="14" spans="2:13" x14ac:dyDescent="0.25">
      <c r="B14" s="25"/>
      <c r="C14" s="25"/>
      <c r="D14" s="25" t="s">
        <v>61</v>
      </c>
      <c r="E14" s="25"/>
      <c r="F14" s="31" t="s">
        <v>92</v>
      </c>
      <c r="G14" s="28">
        <v>6</v>
      </c>
      <c r="H14" s="15" t="s">
        <v>78</v>
      </c>
      <c r="I14" s="13">
        <f>'Price per Hour'!C$6</f>
        <v>17</v>
      </c>
      <c r="J14" s="13"/>
      <c r="K14" s="13">
        <f t="shared" si="1"/>
        <v>102</v>
      </c>
      <c r="L14" s="13"/>
      <c r="M14" s="13"/>
    </row>
    <row r="15" spans="2:13" x14ac:dyDescent="0.25">
      <c r="B15" s="25"/>
      <c r="C15" s="25" t="s">
        <v>62</v>
      </c>
      <c r="D15" s="25"/>
      <c r="E15" s="25"/>
      <c r="F15" s="29" t="s">
        <v>105</v>
      </c>
      <c r="G15" s="28"/>
      <c r="H15" s="15"/>
      <c r="I15" s="13"/>
      <c r="J15" s="13"/>
      <c r="K15" s="13"/>
      <c r="L15" s="13">
        <f t="shared" si="0"/>
        <v>102</v>
      </c>
      <c r="M15" s="13"/>
    </row>
    <row r="16" spans="2:13" x14ac:dyDescent="0.25">
      <c r="B16" s="25"/>
      <c r="C16" s="25"/>
      <c r="D16" s="25" t="s">
        <v>61</v>
      </c>
      <c r="E16" s="25"/>
      <c r="F16" s="31" t="s">
        <v>93</v>
      </c>
      <c r="G16" s="28">
        <v>6</v>
      </c>
      <c r="H16" s="15" t="s">
        <v>78</v>
      </c>
      <c r="I16" s="13">
        <f>'Price per Hour'!C$7</f>
        <v>17</v>
      </c>
      <c r="J16" s="13"/>
      <c r="K16" s="13">
        <f t="shared" si="1"/>
        <v>102</v>
      </c>
      <c r="L16" s="13"/>
      <c r="M16" s="13"/>
    </row>
    <row r="17" spans="2:13" x14ac:dyDescent="0.25">
      <c r="B17" s="25"/>
      <c r="C17" s="25" t="s">
        <v>63</v>
      </c>
      <c r="D17" s="25"/>
      <c r="E17" s="25"/>
      <c r="F17" s="29" t="s">
        <v>106</v>
      </c>
      <c r="G17" s="28"/>
      <c r="H17" s="15"/>
      <c r="I17" s="13"/>
      <c r="J17" s="13"/>
      <c r="K17" s="13"/>
      <c r="L17" s="13">
        <f>K18+K19</f>
        <v>1020</v>
      </c>
      <c r="M17" s="13"/>
    </row>
    <row r="18" spans="2:13" x14ac:dyDescent="0.25">
      <c r="B18" s="25"/>
      <c r="C18" s="25"/>
      <c r="D18" s="25" t="s">
        <v>61</v>
      </c>
      <c r="E18" s="25"/>
      <c r="F18" s="37" t="s">
        <v>92</v>
      </c>
      <c r="G18" s="28">
        <v>30</v>
      </c>
      <c r="H18" s="15" t="s">
        <v>78</v>
      </c>
      <c r="I18" s="13">
        <f>'Price per Hour'!C$6</f>
        <v>17</v>
      </c>
      <c r="J18" s="13"/>
      <c r="K18" s="13">
        <f t="shared" si="1"/>
        <v>510</v>
      </c>
      <c r="L18" s="13"/>
      <c r="M18" s="13"/>
    </row>
    <row r="19" spans="2:13" x14ac:dyDescent="0.25">
      <c r="B19" s="25"/>
      <c r="C19" s="25"/>
      <c r="D19" s="25" t="s">
        <v>62</v>
      </c>
      <c r="E19" s="25"/>
      <c r="F19" s="37" t="s">
        <v>93</v>
      </c>
      <c r="G19" s="28">
        <v>30</v>
      </c>
      <c r="H19" s="15" t="s">
        <v>78</v>
      </c>
      <c r="I19" s="13">
        <f>'Price per Hour'!C$7</f>
        <v>17</v>
      </c>
      <c r="J19" s="13"/>
      <c r="K19" s="13">
        <f t="shared" si="1"/>
        <v>510</v>
      </c>
      <c r="L19" s="13"/>
      <c r="M19" s="13"/>
    </row>
    <row r="20" spans="2:13" ht="15.75" x14ac:dyDescent="0.25">
      <c r="B20" s="25" t="s">
        <v>63</v>
      </c>
      <c r="C20" s="25"/>
      <c r="D20" s="25"/>
      <c r="E20" s="25"/>
      <c r="F20" s="41" t="s">
        <v>107</v>
      </c>
      <c r="G20" s="28"/>
      <c r="H20" s="15"/>
      <c r="I20" s="13"/>
      <c r="J20" s="13"/>
      <c r="K20" s="13"/>
      <c r="L20" s="13"/>
      <c r="M20" s="13">
        <f>L21+L28+L30+L32+L34</f>
        <v>5922</v>
      </c>
    </row>
    <row r="21" spans="2:13" x14ac:dyDescent="0.25">
      <c r="B21" s="25"/>
      <c r="C21" s="25" t="s">
        <v>61</v>
      </c>
      <c r="D21" s="25"/>
      <c r="E21" s="25"/>
      <c r="F21" s="29" t="s">
        <v>108</v>
      </c>
      <c r="G21" s="28"/>
      <c r="H21" s="15"/>
      <c r="I21" s="13"/>
      <c r="J21" s="13"/>
      <c r="L21" s="13">
        <f>K22</f>
        <v>1368</v>
      </c>
      <c r="M21" s="13"/>
    </row>
    <row r="22" spans="2:13" x14ac:dyDescent="0.25">
      <c r="B22" s="25"/>
      <c r="C22" s="25"/>
      <c r="D22" s="25" t="s">
        <v>61</v>
      </c>
      <c r="E22" s="25"/>
      <c r="F22" s="35" t="s">
        <v>109</v>
      </c>
      <c r="G22" s="28"/>
      <c r="H22" s="15"/>
      <c r="I22" s="13"/>
      <c r="J22" s="13"/>
      <c r="K22" s="13">
        <f>J23+J25+J27</f>
        <v>1368</v>
      </c>
      <c r="L22" s="13"/>
      <c r="M22" s="13"/>
    </row>
    <row r="23" spans="2:13" x14ac:dyDescent="0.25">
      <c r="B23" s="25"/>
      <c r="C23" s="25"/>
      <c r="D23" s="25"/>
      <c r="E23" s="25" t="s">
        <v>61</v>
      </c>
      <c r="F23" s="38" t="s">
        <v>92</v>
      </c>
      <c r="G23" s="28">
        <v>24</v>
      </c>
      <c r="H23" s="15" t="s">
        <v>78</v>
      </c>
      <c r="I23" s="13">
        <f>'Price per Hour'!C$6</f>
        <v>17</v>
      </c>
      <c r="J23" s="13">
        <f>I23*G23</f>
        <v>408</v>
      </c>
      <c r="K23" s="13"/>
      <c r="L23" s="13"/>
      <c r="M23" s="13"/>
    </row>
    <row r="24" spans="2:13" x14ac:dyDescent="0.25">
      <c r="B24" s="25"/>
      <c r="C24" s="25"/>
      <c r="D24" s="25" t="s">
        <v>62</v>
      </c>
      <c r="E24" s="25"/>
      <c r="F24" s="35" t="s">
        <v>110</v>
      </c>
      <c r="G24" s="28"/>
      <c r="H24" s="15"/>
      <c r="I24" s="13"/>
      <c r="J24" s="13"/>
      <c r="K24" s="13"/>
      <c r="L24" s="13"/>
      <c r="M24" s="13"/>
    </row>
    <row r="25" spans="2:13" x14ac:dyDescent="0.25">
      <c r="B25" s="25"/>
      <c r="C25" s="25"/>
      <c r="D25" s="25"/>
      <c r="E25" s="25" t="s">
        <v>61</v>
      </c>
      <c r="F25" s="38" t="s">
        <v>12</v>
      </c>
      <c r="G25" s="28">
        <v>6</v>
      </c>
      <c r="H25" s="15" t="s">
        <v>78</v>
      </c>
      <c r="I25" s="13">
        <f>'Price per Hour'!C$5</f>
        <v>40</v>
      </c>
      <c r="J25" s="13">
        <f t="shared" ref="J24:J27" si="2">I25*G25</f>
        <v>240</v>
      </c>
      <c r="K25" s="13"/>
      <c r="L25" s="13"/>
      <c r="M25" s="13"/>
    </row>
    <row r="26" spans="2:13" x14ac:dyDescent="0.25">
      <c r="B26" s="25"/>
      <c r="C26" s="25"/>
      <c r="D26" s="25" t="s">
        <v>63</v>
      </c>
      <c r="E26" s="25"/>
      <c r="F26" s="35" t="s">
        <v>111</v>
      </c>
      <c r="G26" s="28"/>
      <c r="H26" s="15"/>
      <c r="I26" s="13"/>
      <c r="J26" s="13"/>
      <c r="K26" s="13"/>
      <c r="L26" s="13"/>
      <c r="M26" s="13"/>
    </row>
    <row r="27" spans="2:13" x14ac:dyDescent="0.25">
      <c r="B27" s="25"/>
      <c r="C27" s="25"/>
      <c r="D27" s="25"/>
      <c r="E27" s="25" t="s">
        <v>61</v>
      </c>
      <c r="F27" s="38" t="s">
        <v>12</v>
      </c>
      <c r="G27" s="28">
        <v>18</v>
      </c>
      <c r="H27" s="15" t="s">
        <v>78</v>
      </c>
      <c r="I27" s="13">
        <f>'Price per Hour'!C$5</f>
        <v>40</v>
      </c>
      <c r="J27" s="13">
        <f t="shared" si="2"/>
        <v>720</v>
      </c>
      <c r="K27" s="13"/>
      <c r="L27" s="13"/>
      <c r="M27" s="13"/>
    </row>
    <row r="28" spans="2:13" x14ac:dyDescent="0.25">
      <c r="B28" s="25"/>
      <c r="C28" s="25" t="s">
        <v>62</v>
      </c>
      <c r="D28" s="25"/>
      <c r="E28" s="25"/>
      <c r="F28" s="29" t="s">
        <v>112</v>
      </c>
      <c r="G28" s="28"/>
      <c r="H28" s="15"/>
      <c r="I28" s="13"/>
      <c r="J28" s="13"/>
      <c r="K28" s="13"/>
      <c r="L28" s="13">
        <f t="shared" ref="L22:L33" si="3">K29</f>
        <v>1440</v>
      </c>
      <c r="M28" s="13"/>
    </row>
    <row r="29" spans="2:13" x14ac:dyDescent="0.25">
      <c r="B29" s="25"/>
      <c r="C29" s="25"/>
      <c r="D29" s="25" t="s">
        <v>61</v>
      </c>
      <c r="E29" s="25"/>
      <c r="F29" s="37" t="s">
        <v>12</v>
      </c>
      <c r="G29" s="28">
        <v>36</v>
      </c>
      <c r="H29" s="15" t="s">
        <v>78</v>
      </c>
      <c r="I29" s="13">
        <f>'Price per Hour'!C$5</f>
        <v>40</v>
      </c>
      <c r="J29" s="13"/>
      <c r="K29" s="13">
        <f>G29*I29</f>
        <v>1440</v>
      </c>
      <c r="L29" s="13"/>
      <c r="M29" s="13"/>
    </row>
    <row r="30" spans="2:13" x14ac:dyDescent="0.25">
      <c r="B30" s="25"/>
      <c r="C30" s="25" t="s">
        <v>63</v>
      </c>
      <c r="D30" s="25"/>
      <c r="E30" s="25"/>
      <c r="F30" s="29" t="s">
        <v>113</v>
      </c>
      <c r="G30" s="28"/>
      <c r="H30" s="15"/>
      <c r="I30" s="13"/>
      <c r="J30" s="13"/>
      <c r="K30" s="13"/>
      <c r="L30" s="13">
        <f t="shared" si="3"/>
        <v>1344</v>
      </c>
      <c r="M30" s="13"/>
    </row>
    <row r="31" spans="2:13" x14ac:dyDescent="0.25">
      <c r="B31" s="25"/>
      <c r="C31" s="25"/>
      <c r="D31" s="25" t="s">
        <v>61</v>
      </c>
      <c r="E31" s="25"/>
      <c r="F31" s="37" t="s">
        <v>11</v>
      </c>
      <c r="G31" s="28">
        <v>24</v>
      </c>
      <c r="H31" s="15" t="s">
        <v>78</v>
      </c>
      <c r="I31" s="13">
        <f>'Price per Hour'!C$4</f>
        <v>56</v>
      </c>
      <c r="J31" s="13"/>
      <c r="K31" s="13">
        <f t="shared" ref="K30:K37" si="4">G31*I31</f>
        <v>1344</v>
      </c>
      <c r="L31" s="13"/>
      <c r="M31" s="13"/>
    </row>
    <row r="32" spans="2:13" x14ac:dyDescent="0.25">
      <c r="B32" s="25"/>
      <c r="C32" s="25" t="s">
        <v>64</v>
      </c>
      <c r="D32" s="25"/>
      <c r="E32" s="25"/>
      <c r="F32" s="29" t="s">
        <v>114</v>
      </c>
      <c r="G32" s="28"/>
      <c r="H32" s="15"/>
      <c r="I32" s="13"/>
      <c r="J32" s="13"/>
      <c r="K32" s="13"/>
      <c r="L32" s="13">
        <f t="shared" si="3"/>
        <v>1680</v>
      </c>
      <c r="M32" s="13"/>
    </row>
    <row r="33" spans="2:13" x14ac:dyDescent="0.25">
      <c r="B33" s="25"/>
      <c r="C33" s="25"/>
      <c r="D33" s="25" t="s">
        <v>61</v>
      </c>
      <c r="E33" s="25"/>
      <c r="F33" s="37" t="s">
        <v>11</v>
      </c>
      <c r="G33" s="28">
        <v>30</v>
      </c>
      <c r="H33" s="15" t="s">
        <v>78</v>
      </c>
      <c r="I33" s="13">
        <f>'Price per Hour'!C$4</f>
        <v>56</v>
      </c>
      <c r="J33" s="13"/>
      <c r="K33" s="13">
        <f t="shared" si="4"/>
        <v>1680</v>
      </c>
      <c r="L33" s="13"/>
      <c r="M33" s="13"/>
    </row>
    <row r="34" spans="2:13" x14ac:dyDescent="0.25">
      <c r="B34" s="25"/>
      <c r="C34" s="25" t="s">
        <v>67</v>
      </c>
      <c r="D34" s="25"/>
      <c r="E34" s="25"/>
      <c r="F34" s="29" t="s">
        <v>115</v>
      </c>
      <c r="G34" s="28"/>
      <c r="H34" s="15"/>
      <c r="I34" s="13"/>
      <c r="J34" s="13"/>
      <c r="K34" s="13"/>
      <c r="L34" s="13">
        <f>K35+K36+K37</f>
        <v>90</v>
      </c>
      <c r="M34" s="13"/>
    </row>
    <row r="35" spans="2:13" x14ac:dyDescent="0.25">
      <c r="B35" s="25"/>
      <c r="C35" s="25"/>
      <c r="D35" s="25" t="s">
        <v>61</v>
      </c>
      <c r="E35" s="25"/>
      <c r="F35" s="37" t="s">
        <v>92</v>
      </c>
      <c r="G35" s="28">
        <v>1</v>
      </c>
      <c r="H35" s="15" t="s">
        <v>78</v>
      </c>
      <c r="I35" s="13">
        <f>'Price per Hour'!C$6</f>
        <v>17</v>
      </c>
      <c r="J35" s="13"/>
      <c r="K35" s="13">
        <f t="shared" si="4"/>
        <v>17</v>
      </c>
      <c r="L35" s="13"/>
      <c r="M35" s="13"/>
    </row>
    <row r="36" spans="2:13" x14ac:dyDescent="0.25">
      <c r="B36" s="25"/>
      <c r="C36" s="25"/>
      <c r="D36" s="25" t="s">
        <v>62</v>
      </c>
      <c r="E36" s="25"/>
      <c r="F36" s="37" t="s">
        <v>93</v>
      </c>
      <c r="G36" s="28">
        <v>1</v>
      </c>
      <c r="H36" s="15" t="s">
        <v>78</v>
      </c>
      <c r="I36" s="13">
        <f>'Price per Hour'!C$7</f>
        <v>17</v>
      </c>
      <c r="J36" s="13"/>
      <c r="K36" s="13">
        <f t="shared" si="4"/>
        <v>17</v>
      </c>
      <c r="L36" s="13"/>
      <c r="M36" s="13"/>
    </row>
    <row r="37" spans="2:13" x14ac:dyDescent="0.25">
      <c r="B37" s="25"/>
      <c r="C37" s="25"/>
      <c r="D37" s="25" t="s">
        <v>63</v>
      </c>
      <c r="E37" s="25"/>
      <c r="F37" s="30" t="s">
        <v>11</v>
      </c>
      <c r="G37" s="28">
        <v>1</v>
      </c>
      <c r="H37" s="15" t="s">
        <v>78</v>
      </c>
      <c r="I37" s="13">
        <f>'Price per Hour'!C$4</f>
        <v>56</v>
      </c>
      <c r="J37" s="13"/>
      <c r="K37" s="13">
        <f t="shared" si="4"/>
        <v>56</v>
      </c>
      <c r="L37" s="13"/>
      <c r="M37" s="13"/>
    </row>
    <row r="39" spans="2:13" x14ac:dyDescent="0.25">
      <c r="B39" s="32" t="s">
        <v>7</v>
      </c>
      <c r="C39" s="33"/>
      <c r="D39" s="33"/>
      <c r="E39" s="33"/>
      <c r="F39" s="33"/>
      <c r="G39" s="33"/>
      <c r="H39" s="33"/>
      <c r="I39" s="33"/>
      <c r="J39" s="33"/>
      <c r="K39" s="33"/>
      <c r="L39" s="34"/>
      <c r="M39" s="13">
        <f>SUM(M3:M37)</f>
        <v>9351</v>
      </c>
    </row>
  </sheetData>
  <mergeCells count="1">
    <mergeCell ref="B39:L3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F3E3-DCCD-4A3A-8457-439106EC38D7}">
  <sheetPr>
    <tabColor theme="8" tint="0.39997558519241921"/>
  </sheetPr>
  <dimension ref="B2:K21"/>
  <sheetViews>
    <sheetView workbookViewId="0">
      <selection activeCell="K4" sqref="K4"/>
    </sheetView>
  </sheetViews>
  <sheetFormatPr defaultRowHeight="15" x14ac:dyDescent="0.25"/>
  <cols>
    <col min="5" max="5" width="32.28515625" bestFit="1" customWidth="1"/>
    <col min="6" max="6" width="8.42578125" bestFit="1" customWidth="1"/>
    <col min="9" max="9" width="11.140625" bestFit="1" customWidth="1"/>
    <col min="10" max="11" width="11" bestFit="1" customWidth="1"/>
  </cols>
  <sheetData>
    <row r="2" spans="2:11" x14ac:dyDescent="0.25">
      <c r="B2" s="25" t="s">
        <v>69</v>
      </c>
      <c r="C2" s="25" t="s">
        <v>70</v>
      </c>
      <c r="D2" s="25" t="s">
        <v>71</v>
      </c>
      <c r="E2" s="1" t="s">
        <v>72</v>
      </c>
      <c r="F2" s="1" t="s">
        <v>73</v>
      </c>
      <c r="G2" s="1" t="s">
        <v>29</v>
      </c>
      <c r="H2" s="1" t="s">
        <v>30</v>
      </c>
      <c r="I2" s="1" t="s">
        <v>59</v>
      </c>
      <c r="J2" s="1" t="s">
        <v>60</v>
      </c>
      <c r="K2" s="1" t="s">
        <v>1</v>
      </c>
    </row>
    <row r="3" spans="2:11" ht="15.75" x14ac:dyDescent="0.25">
      <c r="B3" s="26" t="s">
        <v>61</v>
      </c>
      <c r="C3" s="25"/>
      <c r="D3" s="25"/>
      <c r="E3" s="27" t="s">
        <v>122</v>
      </c>
      <c r="F3" s="28"/>
      <c r="G3" s="15"/>
      <c r="H3" s="13"/>
      <c r="I3" s="13"/>
      <c r="J3" s="13"/>
      <c r="K3" s="13">
        <f>J4+J6+J8+J10+J12+J14+J16+J18</f>
        <v>1905</v>
      </c>
    </row>
    <row r="4" spans="2:11" x14ac:dyDescent="0.25">
      <c r="B4" s="25"/>
      <c r="C4" s="25" t="s">
        <v>61</v>
      </c>
      <c r="D4" s="25"/>
      <c r="E4" s="29" t="s">
        <v>123</v>
      </c>
      <c r="F4" s="28"/>
      <c r="G4" s="15"/>
      <c r="H4" s="13"/>
      <c r="I4" s="13"/>
      <c r="J4" s="13">
        <f>I5</f>
        <v>51</v>
      </c>
      <c r="K4" s="13"/>
    </row>
    <row r="5" spans="2:11" x14ac:dyDescent="0.25">
      <c r="B5" s="25"/>
      <c r="C5" s="25"/>
      <c r="D5" s="25" t="s">
        <v>61</v>
      </c>
      <c r="E5" s="37" t="s">
        <v>92</v>
      </c>
      <c r="F5" s="28">
        <v>3</v>
      </c>
      <c r="G5" s="15" t="s">
        <v>78</v>
      </c>
      <c r="H5" s="13">
        <f>'Price per Hour'!C$6</f>
        <v>17</v>
      </c>
      <c r="I5" s="13">
        <f>H5*F5</f>
        <v>51</v>
      </c>
      <c r="J5" s="13"/>
      <c r="K5" s="13"/>
    </row>
    <row r="6" spans="2:11" x14ac:dyDescent="0.25">
      <c r="B6" s="25"/>
      <c r="C6" s="25" t="s">
        <v>62</v>
      </c>
      <c r="D6" s="25"/>
      <c r="E6" s="29" t="s">
        <v>124</v>
      </c>
      <c r="F6" s="28"/>
      <c r="G6" s="15"/>
      <c r="H6" s="13"/>
      <c r="I6" s="13"/>
      <c r="J6" s="13">
        <f t="shared" ref="J5:J18" si="0">I7</f>
        <v>51</v>
      </c>
      <c r="K6" s="13"/>
    </row>
    <row r="7" spans="2:11" x14ac:dyDescent="0.25">
      <c r="B7" s="25"/>
      <c r="C7" s="25"/>
      <c r="D7" s="25" t="s">
        <v>61</v>
      </c>
      <c r="E7" s="37" t="s">
        <v>93</v>
      </c>
      <c r="F7" s="28">
        <v>3</v>
      </c>
      <c r="G7" s="15" t="s">
        <v>78</v>
      </c>
      <c r="H7" s="13">
        <f>'Price per Hour'!C$7</f>
        <v>17</v>
      </c>
      <c r="I7" s="13">
        <f t="shared" ref="I6:I19" si="1">H7*F7</f>
        <v>51</v>
      </c>
      <c r="J7" s="13"/>
      <c r="K7" s="13"/>
    </row>
    <row r="8" spans="2:11" x14ac:dyDescent="0.25">
      <c r="B8" s="25"/>
      <c r="C8" s="25" t="s">
        <v>63</v>
      </c>
      <c r="D8" s="25"/>
      <c r="E8" s="29" t="s">
        <v>125</v>
      </c>
      <c r="F8" s="28"/>
      <c r="G8" s="15"/>
      <c r="H8" s="13"/>
      <c r="I8" s="13"/>
      <c r="J8" s="13">
        <f t="shared" si="0"/>
        <v>51</v>
      </c>
      <c r="K8" s="13"/>
    </row>
    <row r="9" spans="2:11" x14ac:dyDescent="0.25">
      <c r="B9" s="25"/>
      <c r="C9" s="25"/>
      <c r="D9" s="25" t="s">
        <v>61</v>
      </c>
      <c r="E9" s="37" t="s">
        <v>92</v>
      </c>
      <c r="F9" s="28">
        <v>3</v>
      </c>
      <c r="G9" s="15" t="s">
        <v>78</v>
      </c>
      <c r="H9" s="13">
        <f>'Price per Hour'!C$6</f>
        <v>17</v>
      </c>
      <c r="I9" s="13">
        <f t="shared" si="1"/>
        <v>51</v>
      </c>
      <c r="J9" s="13"/>
      <c r="K9" s="13"/>
    </row>
    <row r="10" spans="2:11" x14ac:dyDescent="0.25">
      <c r="B10" s="25"/>
      <c r="C10" s="25" t="s">
        <v>64</v>
      </c>
      <c r="D10" s="25"/>
      <c r="E10" s="29" t="s">
        <v>126</v>
      </c>
      <c r="F10" s="28"/>
      <c r="G10" s="15"/>
      <c r="H10" s="13"/>
      <c r="I10" s="13"/>
      <c r="J10" s="13">
        <f t="shared" si="0"/>
        <v>102</v>
      </c>
      <c r="K10" s="13"/>
    </row>
    <row r="11" spans="2:11" x14ac:dyDescent="0.25">
      <c r="B11" s="25"/>
      <c r="C11" s="25"/>
      <c r="D11" s="25" t="s">
        <v>61</v>
      </c>
      <c r="E11" s="37" t="s">
        <v>93</v>
      </c>
      <c r="F11" s="28">
        <v>6</v>
      </c>
      <c r="G11" s="15" t="s">
        <v>78</v>
      </c>
      <c r="H11" s="13">
        <f>'Price per Hour'!C$7</f>
        <v>17</v>
      </c>
      <c r="I11" s="13">
        <f t="shared" si="1"/>
        <v>102</v>
      </c>
      <c r="J11" s="13"/>
      <c r="K11" s="13"/>
    </row>
    <row r="12" spans="2:11" x14ac:dyDescent="0.25">
      <c r="B12" s="25"/>
      <c r="C12" s="25" t="s">
        <v>67</v>
      </c>
      <c r="D12" s="25"/>
      <c r="E12" s="39" t="s">
        <v>127</v>
      </c>
      <c r="F12" s="28"/>
      <c r="G12" s="15"/>
      <c r="H12" s="13"/>
      <c r="I12" s="13"/>
      <c r="J12" s="13">
        <f t="shared" si="0"/>
        <v>204</v>
      </c>
      <c r="K12" s="13"/>
    </row>
    <row r="13" spans="2:11" x14ac:dyDescent="0.25">
      <c r="B13" s="25"/>
      <c r="C13" s="25"/>
      <c r="D13" s="25" t="s">
        <v>61</v>
      </c>
      <c r="E13" s="37" t="s">
        <v>92</v>
      </c>
      <c r="F13" s="28">
        <v>12</v>
      </c>
      <c r="G13" s="15" t="s">
        <v>78</v>
      </c>
      <c r="H13" s="13">
        <f>'Price per Hour'!C$6</f>
        <v>17</v>
      </c>
      <c r="I13" s="13">
        <f t="shared" si="1"/>
        <v>204</v>
      </c>
      <c r="J13" s="13"/>
      <c r="K13" s="13"/>
    </row>
    <row r="14" spans="2:11" x14ac:dyDescent="0.25">
      <c r="B14" s="25"/>
      <c r="C14" s="25" t="s">
        <v>68</v>
      </c>
      <c r="D14" s="25"/>
      <c r="E14" s="39" t="s">
        <v>128</v>
      </c>
      <c r="F14" s="28"/>
      <c r="G14" s="15"/>
      <c r="H14" s="13"/>
      <c r="I14" s="13"/>
      <c r="J14" s="13">
        <f t="shared" si="0"/>
        <v>102</v>
      </c>
      <c r="K14" s="13"/>
    </row>
    <row r="15" spans="2:11" x14ac:dyDescent="0.25">
      <c r="B15" s="25"/>
      <c r="C15" s="25"/>
      <c r="D15" s="25" t="s">
        <v>61</v>
      </c>
      <c r="E15" s="37" t="s">
        <v>93</v>
      </c>
      <c r="F15" s="28">
        <v>6</v>
      </c>
      <c r="G15" s="15" t="s">
        <v>78</v>
      </c>
      <c r="H15" s="13">
        <f>'Price per Hour'!C$7</f>
        <v>17</v>
      </c>
      <c r="I15" s="13">
        <f t="shared" si="1"/>
        <v>102</v>
      </c>
      <c r="J15" s="13"/>
      <c r="K15" s="13"/>
    </row>
    <row r="16" spans="2:11" x14ac:dyDescent="0.25">
      <c r="B16" s="25"/>
      <c r="C16" s="25" t="s">
        <v>131</v>
      </c>
      <c r="D16" s="25"/>
      <c r="E16" s="39" t="s">
        <v>129</v>
      </c>
      <c r="F16" s="28"/>
      <c r="G16" s="15"/>
      <c r="H16" s="13"/>
      <c r="I16" s="13"/>
      <c r="J16" s="13">
        <f t="shared" si="0"/>
        <v>336</v>
      </c>
      <c r="K16" s="13"/>
    </row>
    <row r="17" spans="2:11" x14ac:dyDescent="0.25">
      <c r="B17" s="25"/>
      <c r="C17" s="25"/>
      <c r="D17" s="25" t="s">
        <v>61</v>
      </c>
      <c r="E17" s="37" t="s">
        <v>11</v>
      </c>
      <c r="F17" s="28">
        <v>6</v>
      </c>
      <c r="G17" s="15" t="s">
        <v>78</v>
      </c>
      <c r="H17" s="13">
        <f>'Price per Hour'!C$4</f>
        <v>56</v>
      </c>
      <c r="I17" s="13">
        <f t="shared" si="1"/>
        <v>336</v>
      </c>
      <c r="J17" s="13"/>
      <c r="K17" s="13"/>
    </row>
    <row r="18" spans="2:11" x14ac:dyDescent="0.25">
      <c r="B18" s="25"/>
      <c r="C18" s="25" t="s">
        <v>132</v>
      </c>
      <c r="D18" s="25"/>
      <c r="E18" s="29" t="s">
        <v>130</v>
      </c>
      <c r="F18" s="28"/>
      <c r="G18" s="15"/>
      <c r="H18" s="13"/>
      <c r="I18" s="13"/>
      <c r="J18" s="13">
        <f t="shared" si="0"/>
        <v>1008</v>
      </c>
      <c r="K18" s="13"/>
    </row>
    <row r="19" spans="2:11" x14ac:dyDescent="0.25">
      <c r="B19" s="25"/>
      <c r="C19" s="25"/>
      <c r="D19" s="25" t="s">
        <v>62</v>
      </c>
      <c r="E19" s="37" t="s">
        <v>11</v>
      </c>
      <c r="F19" s="28">
        <v>18</v>
      </c>
      <c r="G19" s="15" t="s">
        <v>78</v>
      </c>
      <c r="H19" s="13">
        <f>'Price per Hour'!C$4</f>
        <v>56</v>
      </c>
      <c r="I19" s="13">
        <f t="shared" si="1"/>
        <v>1008</v>
      </c>
      <c r="J19" s="13"/>
      <c r="K19" s="13"/>
    </row>
    <row r="21" spans="2:11" x14ac:dyDescent="0.25">
      <c r="B21" s="32" t="s">
        <v>7</v>
      </c>
      <c r="C21" s="33"/>
      <c r="D21" s="33"/>
      <c r="E21" s="33"/>
      <c r="F21" s="33"/>
      <c r="G21" s="33"/>
      <c r="H21" s="33"/>
      <c r="I21" s="33"/>
      <c r="J21" s="34"/>
      <c r="K21" s="13">
        <f>SUM(K3:K19)</f>
        <v>1905</v>
      </c>
    </row>
  </sheetData>
  <mergeCells count="1">
    <mergeCell ref="B21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Staff</vt:lpstr>
      <vt:lpstr>Staff Productivity</vt:lpstr>
      <vt:lpstr>Indirect Costs</vt:lpstr>
      <vt:lpstr>Production Costs</vt:lpstr>
      <vt:lpstr>Billing Needs</vt:lpstr>
      <vt:lpstr>Schedule</vt:lpstr>
      <vt:lpstr>Price per Hour</vt:lpstr>
      <vt:lpstr>Summary</vt:lpstr>
      <vt:lpstr>Budget</vt:lpstr>
      <vt:lpstr>Client</vt:lpstr>
      <vt:lpstr>Part 1</vt:lpstr>
      <vt:lpstr>Part 2</vt:lpstr>
      <vt:lpstr>Part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Cadenas Blanco</dc:creator>
  <cp:lastModifiedBy>Andrés Cadenas Blanco</cp:lastModifiedBy>
  <dcterms:created xsi:type="dcterms:W3CDTF">2026-01-19T16:48:51Z</dcterms:created>
  <dcterms:modified xsi:type="dcterms:W3CDTF">2026-01-20T12:54:17Z</dcterms:modified>
</cp:coreProperties>
</file>